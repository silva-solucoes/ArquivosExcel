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h201\Downloads\Karina\Karina\"/>
    </mc:Choice>
  </mc:AlternateContent>
  <xr:revisionPtr revIDLastSave="0" documentId="13_ncr:1_{A7E2F7E3-0C78-4945-8A5E-92B57A2A52CD}" xr6:coauthVersionLast="46" xr6:coauthVersionMax="46" xr10:uidLastSave="{00000000-0000-0000-0000-000000000000}"/>
  <bookViews>
    <workbookView xWindow="-108" yWindow="-108" windowWidth="23256" windowHeight="12456" activeTab="1" xr2:uid="{42007479-7221-4C5A-B801-AA307A4C6349}"/>
  </bookViews>
  <sheets>
    <sheet name="Planilha1" sheetId="1" r:id="rId1"/>
    <sheet name="Planilha2" sheetId="2" r:id="rId2"/>
    <sheet name="Planilha3" sheetId="3" r:id="rId3"/>
  </sheets>
  <definedNames>
    <definedName name="ano">Planilha2!$T$3</definedName>
    <definedName name="FIM">EOMONTH(INICIO,1)</definedName>
    <definedName name="INICIO">DATE(ano,Planilha2!XFC1048576,1)</definedName>
    <definedName name="mes">Planilha2!$S$3</definedName>
    <definedName name="meses">Planilha3!$B$3:$B$15</definedName>
    <definedName name="mesNum">MATCH(mes, Planilha3!XEQ2:XEQ13, 0)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2" l="1"/>
  <c r="S3" i="2"/>
  <c r="P3" i="2" s="1"/>
  <c r="Q3" i="2" l="1"/>
  <c r="B5" i="2" l="1"/>
  <c r="R3" i="2"/>
  <c r="D5" i="2" l="1"/>
  <c r="B8" i="2"/>
  <c r="B6" i="2"/>
  <c r="D8" i="2" l="1"/>
  <c r="F5" i="2"/>
  <c r="D6" i="2"/>
  <c r="F8" i="2" l="1"/>
  <c r="F6" i="2"/>
  <c r="H5" i="2"/>
  <c r="J5" i="2" l="1"/>
  <c r="J8" i="2" s="1"/>
  <c r="H8" i="2"/>
  <c r="H6" i="2"/>
  <c r="J6" i="2" l="1"/>
  <c r="L5" i="2"/>
  <c r="L6" i="2" s="1"/>
  <c r="N5" i="2" l="1"/>
  <c r="N8" i="2" s="1"/>
  <c r="L8" i="2"/>
  <c r="N6" i="2" l="1"/>
  <c r="B10" i="2"/>
  <c r="B11" i="2" l="1"/>
  <c r="D10" i="2"/>
  <c r="B13" i="2"/>
  <c r="D11" i="2" l="1"/>
  <c r="D13" i="2"/>
  <c r="F10" i="2"/>
  <c r="F13" i="2" s="1"/>
  <c r="H10" i="2" l="1"/>
  <c r="F11" i="2"/>
  <c r="H11" i="2" l="1"/>
  <c r="H13" i="2"/>
  <c r="J10" i="2"/>
  <c r="L10" i="2" s="1"/>
  <c r="L11" i="2" s="1"/>
  <c r="J11" i="2" l="1"/>
  <c r="J13" i="2"/>
  <c r="L13" i="2"/>
  <c r="N10" i="2"/>
  <c r="N13" i="2" s="1"/>
  <c r="N11" i="2" l="1"/>
  <c r="B15" i="2"/>
  <c r="B18" i="2" s="1"/>
  <c r="D15" i="2" l="1"/>
  <c r="D18" i="2" s="1"/>
  <c r="B16" i="2"/>
  <c r="F15" i="2" l="1"/>
  <c r="F18" i="2" s="1"/>
  <c r="D16" i="2"/>
  <c r="H15" i="2" l="1"/>
  <c r="H18" i="2" s="1"/>
  <c r="F16" i="2"/>
  <c r="H16" i="2" l="1"/>
  <c r="J15" i="2"/>
  <c r="J18" i="2" s="1"/>
  <c r="L15" i="2" l="1"/>
  <c r="L18" i="2" s="1"/>
  <c r="J16" i="2"/>
  <c r="N15" i="2" l="1"/>
  <c r="N18" i="2" s="1"/>
  <c r="L16" i="2"/>
  <c r="B20" i="2" l="1"/>
  <c r="B23" i="2" s="1"/>
  <c r="N16" i="2"/>
  <c r="D20" i="2" l="1"/>
  <c r="D23" i="2" s="1"/>
  <c r="B21" i="2"/>
  <c r="F20" i="2" l="1"/>
  <c r="F23" i="2" s="1"/>
  <c r="D21" i="2"/>
  <c r="H20" i="2" l="1"/>
  <c r="H23" i="2" s="1"/>
  <c r="F21" i="2"/>
  <c r="H21" i="2" l="1"/>
  <c r="J20" i="2"/>
  <c r="J23" i="2" s="1"/>
  <c r="L20" i="2" l="1"/>
  <c r="L23" i="2" s="1"/>
  <c r="J21" i="2"/>
  <c r="N20" i="2" l="1"/>
  <c r="N23" i="2" s="1"/>
  <c r="L21" i="2"/>
  <c r="N21" i="2" l="1"/>
  <c r="B25" i="2"/>
  <c r="B28" i="2" s="1"/>
  <c r="D25" i="2" l="1"/>
  <c r="D28" i="2" s="1"/>
  <c r="B26" i="2"/>
  <c r="F25" i="2" l="1"/>
  <c r="F28" i="2" s="1"/>
  <c r="D26" i="2"/>
  <c r="F26" i="2" l="1"/>
  <c r="H25" i="2"/>
  <c r="H28" i="2" s="1"/>
  <c r="H26" i="2" l="1"/>
  <c r="J25" i="2"/>
  <c r="J28" i="2" s="1"/>
  <c r="L25" i="2" l="1"/>
  <c r="L28" i="2" s="1"/>
  <c r="J26" i="2"/>
  <c r="N25" i="2" l="1"/>
  <c r="N28" i="2" s="1"/>
  <c r="L26" i="2"/>
  <c r="B30" i="2" l="1"/>
  <c r="B33" i="2" s="1"/>
  <c r="N26" i="2"/>
  <c r="B31" i="2" l="1"/>
  <c r="D30" i="2"/>
  <c r="D33" i="2" s="1"/>
  <c r="D31" i="2"/>
  <c r="F30" i="2"/>
  <c r="F33" i="2" s="1"/>
  <c r="F31" i="2" l="1"/>
  <c r="H30" i="2"/>
  <c r="H33" i="2" s="1"/>
  <c r="H31" i="2" l="1"/>
  <c r="J30" i="2"/>
  <c r="J33" i="2" s="1"/>
  <c r="J31" i="2" l="1"/>
  <c r="L30" i="2"/>
  <c r="L33" i="2" s="1"/>
  <c r="L31" i="2" l="1"/>
  <c r="N30" i="2"/>
  <c r="N33" i="2" s="1"/>
  <c r="N31" i="2" l="1"/>
</calcChain>
</file>

<file path=xl/sharedStrings.xml><?xml version="1.0" encoding="utf-8"?>
<sst xmlns="http://schemas.openxmlformats.org/spreadsheetml/2006/main" count="34" uniqueCount="31">
  <si>
    <t>ITEM</t>
  </si>
  <si>
    <t>DESCRIÇÃO</t>
  </si>
  <si>
    <t>DATA</t>
  </si>
  <si>
    <t>RESPONSÁVEL</t>
  </si>
  <si>
    <t>PRAZO</t>
  </si>
  <si>
    <t>DATA CONCLUSÃO</t>
  </si>
  <si>
    <t>STATUS</t>
  </si>
  <si>
    <t>OBSERVAÇÕES</t>
  </si>
  <si>
    <t>JANEIRO 2024</t>
  </si>
  <si>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</si>
  <si>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</si>
  <si>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</si>
  <si>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</si>
  <si>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</si>
  <si>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</si>
  <si>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</si>
  <si>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</si>
  <si>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</si>
  <si>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</si>
  <si>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</si>
  <si>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</si>
  <si>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</si>
  <si>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Pedro Henrique</t>
  </si>
  <si>
    <t>Concluído</t>
  </si>
  <si>
    <t>Visita</t>
  </si>
  <si>
    <t>Visita a Usina Santo Agostinho</t>
  </si>
  <si>
    <t>Visita a Usina</t>
  </si>
  <si>
    <t>Visita Usina B</t>
  </si>
  <si>
    <t>Visita Usina C</t>
  </si>
  <si>
    <t>Visita Usina D</t>
  </si>
  <si>
    <t>CRONOGRAMA DE VISITAS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</si>
</sst>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"/>
    <numFmt numFmtId="165" formatCode="dd"/>
    <numFmt numFmtId="166" formatCode="&quot;R$&quot;\ #,000;;"/>
    <numFmt numFmtId="167" formatCode="mmmm\ yyyy"/>
  </numFmts>
  <fonts count="10">
    <font>
      <sz val="11"/>
      <color theme="1"/>
      <name val="Calibri"/>
      <family val="2"/>
      <scheme val="minor"/>
    </font>
    <font>
      <sz val="12"/>
      <color theme="0"/>
      <name val="Segoe UI Emoji"/>
      <family val="2"/>
    </font>
    <font>
      <sz val="12"/>
      <color theme="1"/>
      <name val="Segoe UI Emoji"/>
      <family val="2"/>
    </font>
    <font>
      <b/>
      <sz val="16"/>
      <color theme="1"/>
      <name val="Segoe UI Emoji"/>
      <family val="2"/>
    </font>
    <font>
      <sz val="18"/>
      <color theme="1"/>
      <name val="Calibri"/>
      <family val="2"/>
      <scheme val="minor"/>
    </font>
    <font>
      <b/>
      <sz val="16"/>
      <color theme="1" tint="0.499984740745262"/>
      <name val="Segoe UI"/>
      <family val="2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164" fontId="0" fillId="4" borderId="1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5" fontId="4" fillId="5" borderId="3" xfId="0" applyNumberFormat="1" applyFont="1" applyFill="1" applyBorder="1" applyAlignment="1">
      <alignment horizontal="left" vertical="center"/>
    </xf>
    <xf numFmtId="0" fontId="0" fillId="6" borderId="0" xfId="0" applyFill="1"/>
    <xf numFmtId="17" fontId="5" fillId="6" borderId="0" xfId="0" applyNumberFormat="1" applyFont="1" applyFill="1" applyAlignment="1">
      <alignment vertical="center"/>
    </xf>
    <xf numFmtId="164" fontId="0" fillId="6" borderId="0" xfId="0" applyNumberFormat="1" applyFill="1" applyAlignment="1">
      <alignment horizontal="center"/>
    </xf>
    <xf numFmtId="166" fontId="0" fillId="6" borderId="0" xfId="0" applyNumberFormat="1" applyFill="1"/>
    <xf numFmtId="0" fontId="3" fillId="0" borderId="0" xfId="0" applyFont="1" applyAlignment="1">
      <alignment horizontal="center" vertical="center"/>
    </xf>
    <xf numFmtId="167" fontId="5" fillId="6" borderId="0" xfId="0" applyNumberFormat="1" applyFont="1" applyFill="1" applyAlignment="1">
      <alignment horizontal="left" vertical="center"/>
    </xf>
    <xf numFmtId="0" fontId="7" fillId="0" borderId="0" xfId="0" applyFont="1" applyAlignment="1">
      <alignment vertical="center"/>
    </xf>
    <xf numFmtId="0" fontId="8" fillId="3" borderId="0" xfId="0" applyFont="1" applyFill="1" applyAlignment="1">
      <alignment vertical="center"/>
    </xf>
    <xf numFmtId="14" fontId="0" fillId="6" borderId="0" xfId="0" applyNumberFormat="1" applyFill="1"/>
    <xf numFmtId="0" fontId="1" fillId="0" borderId="0" xfId="0" applyFont="1" applyFill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4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left" vertical="center" wrapText="1"/>
    </xf>
    <xf numFmtId="165" fontId="4" fillId="5" borderId="0" xfId="0" applyNumberFormat="1" applyFont="1" applyFill="1" applyBorder="1" applyAlignment="1">
      <alignment horizontal="left" vertical="center"/>
    </xf>
    <xf numFmtId="166" fontId="9" fillId="5" borderId="0" xfId="0" applyNumberFormat="1" applyFont="1" applyFill="1" applyBorder="1" applyAlignment="1">
      <alignment horizontal="left"/>
    </xf>
    <xf numFmtId="166" fontId="9" fillId="5" borderId="5" xfId="0" applyNumberFormat="1" applyFont="1" applyFill="1" applyBorder="1" applyAlignment="1">
      <alignment horizontal="left"/>
    </xf>
    <xf numFmtId="166" fontId="9" fillId="6" borderId="0" xfId="0" applyNumberFormat="1" applyFont="1" applyFill="1"/>
  </cellXfs>
  <cellStyles count="1">
    <cellStyle name="Normal" xfId="0" builtinId="0"/>
  </cellStyles>
  <dxfs count="177"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  <border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5" tint="0.79998168889431442"/>
        </patternFill>
      </fill>
    </dxf>
    <dxf>
      <font>
        <color auto="1"/>
      </font>
      <numFmt numFmtId="168" formatCode=";;;"/>
      <fill>
        <patternFill patternType="solid">
          <fgColor auto="1"/>
          <bgColor theme="8" tint="0.79998168889431442"/>
        </patternFill>
      </fill>
      <border>
        <left/>
        <right/>
        <top/>
        <bottom/>
        <vertical/>
        <horizontal/>
      </border>
    </dxf>
    <dxf>
      <numFmt numFmtId="168" formatCode=";;;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;;;"/>
      <fill>
        <patternFill patternType="solid">
          <bgColor theme="8" tint="0.79998168889431442"/>
        </patternFill>
      </fill>
      <border>
        <left/>
        <right/>
        <top/>
        <bottom/>
        <vertical/>
        <horizontal/>
      </border>
    </dxf>
    <dxf>
      <numFmt numFmtId="168" formatCode=";;;"/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Emoj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238123</xdr:colOff>
      <xdr:row>0</xdr:row>
      <xdr:rowOff>295275</xdr:rowOff>
    </xdr:from>
    <xdr:to>
      <xdr:col>4</xdr:col>
      <xdr:colOff>0</xdr:colOff>
      <xdr:row>2</xdr:row>
      <xdr:rowOff>9525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ABCE9885-9F57-4D6D-AE49-0F0327AD1486}"/>
            </a:ext>
          </a:extLst>
        </xdr:cNvPr>
        <xdr:cNvSpPr/>
      </xdr:nvSpPr>
      <xdr:spPr>
        <a:xfrm>
          <a:off x="238123" y="295275"/>
          <a:ext cx="1828802" cy="438150"/>
        </a:xfrm>
        <a:prstGeom prst="round2SameRect">
          <a:avLst>
            <a:gd name="adj1" fmla="val 50000"/>
            <a:gd name="adj2" fmla="val 0"/>
          </a:avLst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  <a:latin typeface="Segoe UI" panose="020B0502040204020203" pitchFamily="34" charset="0"/>
              <a:ea typeface="Segoe UI Emoji" panose="020B0502040204020203" pitchFamily="34" charset="0"/>
              <a:cs typeface="Segoe UI" panose="020B0502040204020203" pitchFamily="34" charset="0"/>
            </a:rPr>
            <a:t>Painel</a:t>
          </a:r>
          <a:r>
            <a:rPr lang="pt-BR" sz="1400" b="1" baseline="0">
              <a:solidFill>
                <a:schemeClr val="accent5">
                  <a:lumMod val="75000"/>
                </a:schemeClr>
              </a:solidFill>
              <a:latin typeface="Segoe UI" panose="020B0502040204020203" pitchFamily="34" charset="0"/>
              <a:ea typeface="Segoe UI Emoji" panose="020B0502040204020203" pitchFamily="34" charset="0"/>
              <a:cs typeface="Segoe UI" panose="020B0502040204020203" pitchFamily="34" charset="0"/>
            </a:rPr>
            <a:t> Principal</a:t>
          </a:r>
          <a:endParaRPr lang="pt-BR" sz="1400" b="1">
            <a:solidFill>
              <a:schemeClr val="accent5">
                <a:lumMod val="75000"/>
              </a:schemeClr>
            </a:solidFill>
            <a:latin typeface="Segoe UI" panose="020B0502040204020203" pitchFamily="34" charset="0"/>
            <a:ea typeface="Segoe UI Emoj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76199</xdr:colOff>
      <xdr:row>0</xdr:row>
      <xdr:rowOff>295275</xdr:rowOff>
    </xdr:from>
    <xdr:to>
      <xdr:col>9</xdr:col>
      <xdr:colOff>381000</xdr:colOff>
      <xdr:row>2</xdr:row>
      <xdr:rowOff>9525</xdr:rowOff>
    </xdr:to>
    <xdr:sp macro="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A00153EC-297C-4D1F-B040-B4EA4D0C75E6}"/>
            </a:ext>
          </a:extLst>
        </xdr:cNvPr>
        <xdr:cNvSpPr/>
      </xdr:nvSpPr>
      <xdr:spPr>
        <a:xfrm>
          <a:off x="2495549" y="295275"/>
          <a:ext cx="2628901" cy="438150"/>
        </a:xfrm>
        <a:prstGeom prst="round2SameRect">
          <a:avLst>
            <a:gd name="adj1" fmla="val 50000"/>
            <a:gd name="adj2" fmla="val 0"/>
          </a:avLst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  <a:latin typeface="Segoe UI" panose="020B0502040204020203" pitchFamily="34" charset="0"/>
              <a:ea typeface="Segoe UI Emoji" panose="020B0502040204020203" pitchFamily="34" charset="0"/>
              <a:cs typeface="Segoe UI" panose="020B0502040204020203" pitchFamily="34" charset="0"/>
            </a:rPr>
            <a:t>Cronograma</a:t>
          </a:r>
          <a:r>
            <a:rPr lang="pt-BR" sz="1400" b="1" baseline="0">
              <a:solidFill>
                <a:schemeClr val="accent5">
                  <a:lumMod val="75000"/>
                </a:schemeClr>
              </a:solidFill>
              <a:latin typeface="Segoe UI" panose="020B0502040204020203" pitchFamily="34" charset="0"/>
              <a:ea typeface="Segoe UI Emoji" panose="020B0502040204020203" pitchFamily="34" charset="0"/>
              <a:cs typeface="Segoe UI" panose="020B0502040204020203" pitchFamily="34" charset="0"/>
            </a:rPr>
            <a:t> de Visitas</a:t>
          </a:r>
          <a:endParaRPr lang="pt-BR" sz="1400" b="1">
            <a:solidFill>
              <a:schemeClr val="accent5">
                <a:lumMod val="75000"/>
              </a:schemeClr>
            </a:solidFill>
            <a:latin typeface="Segoe UI" panose="020B0502040204020203" pitchFamily="34" charset="0"/>
            <a:ea typeface="Segoe UI Emoj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352425</xdr:colOff>
      <xdr:row>2</xdr:row>
      <xdr:rowOff>123825</xdr:rowOff>
    </xdr:from>
    <xdr:to>
      <xdr:col>11</xdr:col>
      <xdr:colOff>733425</xdr:colOff>
      <xdr:row>2</xdr:row>
      <xdr:rowOff>485775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EDCC1A-A11D-4E20-BD98-577EC70BAE65}"/>
            </a:ext>
          </a:extLst>
        </xdr:cNvPr>
        <xdr:cNvSpPr/>
      </xdr:nvSpPr>
      <xdr:spPr>
        <a:xfrm>
          <a:off x="6200775" y="847725"/>
          <a:ext cx="381000" cy="36195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628650</xdr:colOff>
      <xdr:row>2</xdr:row>
      <xdr:rowOff>123825</xdr:rowOff>
    </xdr:from>
    <xdr:to>
      <xdr:col>13</xdr:col>
      <xdr:colOff>1009650</xdr:colOff>
      <xdr:row>2</xdr:row>
      <xdr:rowOff>485775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630A37B-B412-4E7B-A395-66C87EAFDD5E}"/>
            </a:ext>
          </a:extLst>
        </xdr:cNvPr>
        <xdr:cNvSpPr/>
      </xdr:nvSpPr>
      <xdr:spPr>
        <a:xfrm>
          <a:off x="7610475" y="847725"/>
          <a:ext cx="381000" cy="36195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819150</xdr:colOff>
      <xdr:row>2</xdr:row>
      <xdr:rowOff>123825</xdr:rowOff>
    </xdr:from>
    <xdr:to>
      <xdr:col>13</xdr:col>
      <xdr:colOff>542925</xdr:colOff>
      <xdr:row>2</xdr:row>
      <xdr:rowOff>485775</xdr:rowOff>
    </xdr:to>
    <xdr:sp macro="[0]!RetornarParaHoj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72D1F20-22B5-4DDD-BDDF-F128540D594A}"/>
            </a:ext>
          </a:extLst>
        </xdr:cNvPr>
        <xdr:cNvSpPr/>
      </xdr:nvSpPr>
      <xdr:spPr>
        <a:xfrm>
          <a:off x="6667500" y="847725"/>
          <a:ext cx="857250" cy="36195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5">
                  <a:lumMod val="20000"/>
                  <a:lumOff val="8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HOJE</a:t>
          </a:r>
        </a:p>
      </xdr:txBody>
    </xdr:sp>
    <xdr:clientData/>
  </xdr:twoCellAnchor>
  <xdr:twoCellAnchor editAs="oneCell">
    <xdr:from>
      <xdr:col>11</xdr:col>
      <xdr:colOff>369074</xdr:colOff>
      <xdr:row>2</xdr:row>
      <xdr:rowOff>130950</xdr:rowOff>
    </xdr:from>
    <xdr:to>
      <xdr:col>11</xdr:col>
      <xdr:colOff>723899</xdr:colOff>
      <xdr:row>2</xdr:row>
      <xdr:rowOff>485775</xdr:rowOff>
    </xdr:to>
    <xdr:pic macro="[0]!RetrocederMesAnterior">
      <xdr:nvPicPr>
        <xdr:cNvPr id="10" name="Gráfico 9" descr="Setas de divisa DPE">
          <a:extLst>
            <a:ext uri="{FF2B5EF4-FFF2-40B4-BE49-F238E27FC236}">
              <a16:creationId xmlns:a16="http://schemas.microsoft.com/office/drawing/2014/main" id="{30194628-8916-490B-8DB0-4324CEDD2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7424" y="854850"/>
          <a:ext cx="354825" cy="354825"/>
        </a:xfrm>
        <a:prstGeom prst="rect">
          <a:avLst/>
        </a:prstGeom>
      </xdr:spPr>
    </xdr:pic>
    <xdr:clientData/>
  </xdr:twoCellAnchor>
  <xdr:twoCellAnchor editAs="oneCell">
    <xdr:from>
      <xdr:col>13</xdr:col>
      <xdr:colOff>645299</xdr:colOff>
      <xdr:row>2</xdr:row>
      <xdr:rowOff>130950</xdr:rowOff>
    </xdr:from>
    <xdr:to>
      <xdr:col>13</xdr:col>
      <xdr:colOff>1000124</xdr:colOff>
      <xdr:row>2</xdr:row>
      <xdr:rowOff>485775</xdr:rowOff>
    </xdr:to>
    <xdr:pic macro="[0]!AvancarProximoMes">
      <xdr:nvPicPr>
        <xdr:cNvPr id="11" name="Gráfico 10" descr="Setas de divisa DPE">
          <a:extLst>
            <a:ext uri="{FF2B5EF4-FFF2-40B4-BE49-F238E27FC236}">
              <a16:creationId xmlns:a16="http://schemas.microsoft.com/office/drawing/2014/main" id="{CDF5B920-5606-4592-8C23-96DD045ED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7627124" y="854850"/>
          <a:ext cx="354825" cy="354825"/>
        </a:xfrm>
        <a:prstGeom prst="rect">
          <a:avLst/>
        </a:prstGeom>
      </xdr:spPr>
    </xdr:pic>
    <xdr:clientData/>
  </xdr:twoCellAnchor>
  <xdr:twoCellAnchor>
    <xdr:from>
      <xdr:col>15</xdr:col>
      <xdr:colOff>472440</xdr:colOff>
      <xdr:row>2</xdr:row>
      <xdr:rowOff>144780</xdr:rowOff>
    </xdr:from>
    <xdr:to>
      <xdr:col>20</xdr:col>
      <xdr:colOff>541020</xdr:colOff>
      <xdr:row>3</xdr:row>
      <xdr:rowOff>121920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4073B29-DDF3-4CEE-850C-03EB08533F2C}"/>
            </a:ext>
          </a:extLst>
        </xdr:cNvPr>
        <xdr:cNvSpPr/>
      </xdr:nvSpPr>
      <xdr:spPr>
        <a:xfrm>
          <a:off x="9334500" y="861060"/>
          <a:ext cx="3162300" cy="586740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cs typeface="Segoe UI" panose="020B0502040204020203" pitchFamily="34" charset="0"/>
            </a:rPr>
            <a:t>Cadastrar Visita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C6E763-C075-4E46-86CC-C486232101B4}" name="tbl_Eventos" displayName="tbl_Eventos" ref="A2:H7" totalsRowShown="0" headerRowDxfId="176" dataDxfId="167">
  <autoFilter ref="A2:H7" xr:uid="{B80F5147-943D-42F9-9426-4F4888871342}"/>
  <tableColumns count="8">
    <tableColumn id="1" xr3:uid="{61C2A9F4-4AB0-4753-BB40-EF9F60BB1FEF}" name="ITEM" dataDxfId="175"/>
    <tableColumn id="2" xr3:uid="{A41644BF-CEA5-47B7-8128-0986DC268789}" name="DESCRIÇÃO" dataDxfId="174"/>
    <tableColumn id="3" xr3:uid="{0542CE5C-0469-4B9B-8F9B-BE643D3D56F8}" name="DATA" dataDxfId="173"/>
    <tableColumn id="4" xr3:uid="{9AACC3CB-6D5D-45B8-98AC-138013D3EB25}" name="RESPONSÁVEL" dataDxfId="172"/>
    <tableColumn id="5" xr3:uid="{3E6191C7-E963-4E72-B2BC-4F8CCA5BEF42}" name="PRAZO" dataDxfId="171"/>
    <tableColumn id="6" xr3:uid="{659126CF-6AF9-4AE6-8C52-606729DB83B4}" name="DATA CONCLUSÃO" dataDxfId="170"/>
    <tableColumn id="7" xr3:uid="{22A14F1C-FBA6-46EC-A5B1-8096413EA25A}" name="STATUS" dataDxfId="169"/>
    <tableColumn id="8" xr3:uid="{3E72D526-C9DA-4A31-B91C-803E2364D8BA}" name="OBSERVAÇÕES" dataDxfId="16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80274-0966-41C1-BEE8-58BAD70BACD6}">
  <sheetPr codeName="Planilha1"/>
  <dimension ref="A1:I7"/>
  <sheetViews>
    <sheetView workbookViewId="0">
      <selection activeCell="D3" sqref="D3"/>
    </sheetView>
  </sheetViews>
  <sheetFormatPr defaultRowHeight="14.4"/>
  <cols>
    <col min="1" max="1" width="10.88671875" customWidth="1"/>
    <col min="2" max="2" width="31.21875" bestFit="1" customWidth="1"/>
    <col min="3" max="3" width="12.5546875" bestFit="1" customWidth="1"/>
    <col min="4" max="4" width="22.44140625" customWidth="1"/>
    <col min="5" max="5" width="12.5546875" bestFit="1" customWidth="1"/>
    <col min="6" max="6" width="23.44140625" customWidth="1"/>
    <col min="7" max="7" width="11.21875" customWidth="1"/>
    <col min="8" max="8" width="35.21875" customWidth="1"/>
    <col min="9" max="9" width="16.6640625" bestFit="1" customWidth="1"/>
  </cols>
  <sheetData>
    <row r="1" spans="1:9" ht="33.75" customHeight="1">
      <c r="A1" s="10" t="s">
        <v>30</v>
      </c>
      <c r="B1" s="10"/>
      <c r="C1" s="10"/>
      <c r="D1" s="10"/>
      <c r="E1" s="10"/>
      <c r="F1" s="10"/>
      <c r="G1" s="10"/>
      <c r="H1" s="10"/>
    </row>
    <row r="2" spans="1:9" ht="1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5"/>
    </row>
    <row r="3" spans="1:9" ht="18">
      <c r="A3" s="17">
        <v>1</v>
      </c>
      <c r="B3" s="17" t="s">
        <v>25</v>
      </c>
      <c r="C3" s="16">
        <v>45292</v>
      </c>
      <c r="D3" s="17" t="s">
        <v>22</v>
      </c>
      <c r="E3" s="16">
        <v>45292</v>
      </c>
      <c r="F3" s="16">
        <v>45292</v>
      </c>
      <c r="G3" s="17" t="s">
        <v>23</v>
      </c>
      <c r="H3" s="17" t="s">
        <v>24</v>
      </c>
    </row>
    <row r="4" spans="1:9" ht="18">
      <c r="A4" s="17">
        <v>2</v>
      </c>
      <c r="B4" s="17" t="s">
        <v>26</v>
      </c>
      <c r="C4" s="16">
        <v>45292</v>
      </c>
      <c r="D4" s="17" t="s">
        <v>22</v>
      </c>
      <c r="E4" s="16">
        <v>45292</v>
      </c>
      <c r="F4" s="16">
        <v>45292</v>
      </c>
      <c r="G4" s="17" t="s">
        <v>23</v>
      </c>
      <c r="H4" s="17" t="s">
        <v>24</v>
      </c>
    </row>
    <row r="5" spans="1:9" ht="18">
      <c r="A5" s="17">
        <v>3</v>
      </c>
      <c r="B5" s="17" t="s">
        <v>27</v>
      </c>
      <c r="C5" s="16">
        <v>45292</v>
      </c>
      <c r="D5" s="17"/>
      <c r="E5" s="16"/>
      <c r="F5" s="16"/>
      <c r="G5" s="17"/>
      <c r="H5" s="17"/>
    </row>
    <row r="6" spans="1:9" ht="18">
      <c r="A6" s="17">
        <v>4</v>
      </c>
      <c r="B6" s="17" t="s">
        <v>28</v>
      </c>
      <c r="C6" s="16">
        <v>45293</v>
      </c>
      <c r="D6" s="17"/>
      <c r="E6" s="16"/>
      <c r="F6" s="16"/>
      <c r="G6" s="17"/>
      <c r="H6" s="17"/>
    </row>
    <row r="7" spans="1:9" ht="18">
      <c r="A7" s="17">
        <v>5</v>
      </c>
      <c r="B7" s="17" t="s">
        <v>29</v>
      </c>
      <c r="C7" s="16">
        <v>45296</v>
      </c>
      <c r="D7" s="17"/>
      <c r="E7" s="16"/>
      <c r="F7" s="16"/>
      <c r="G7" s="17"/>
      <c r="H7" s="17"/>
    </row>
  </sheetData>
  <mergeCells count="1">
    <mergeCell ref="A1:H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1FB40-E7E9-4AD2-A44B-4B76D16C6E2B}">
  <sheetPr codeName="painel"/>
  <dimension ref="A1:AL45"/>
  <sheetViews>
    <sheetView showGridLines="0" tabSelected="1" zoomScale="70" zoomScaleNormal="70" workbookViewId="0">
      <selection activeCell="AG29" sqref="AG29"/>
    </sheetView>
  </sheetViews>
  <sheetFormatPr defaultRowHeight="14.4"/>
  <cols>
    <col min="1" max="1" width="3.5546875" customWidth="1"/>
    <col min="2" max="2" width="15.88671875" customWidth="1"/>
    <col min="3" max="3" width="1.5546875" customWidth="1"/>
    <col min="4" max="4" width="15.33203125" customWidth="1"/>
    <col min="5" max="5" width="1.44140625" customWidth="1"/>
    <col min="6" max="6" width="15.109375" customWidth="1"/>
    <col min="7" max="7" width="1.44140625" customWidth="1"/>
    <col min="8" max="8" width="15.33203125" customWidth="1"/>
    <col min="9" max="9" width="1.5546875" customWidth="1"/>
    <col min="10" max="10" width="15.44140625" customWidth="1"/>
    <col min="11" max="11" width="1.109375" customWidth="1"/>
    <col min="12" max="12" width="15.6640625" customWidth="1"/>
    <col min="13" max="13" width="1.33203125" customWidth="1"/>
    <col min="14" max="14" width="15.5546875" customWidth="1"/>
    <col min="17" max="18" width="10.5546875" bestFit="1" customWidth="1"/>
    <col min="19" max="19" width="10.109375" bestFit="1" customWidth="1"/>
    <col min="20" max="20" width="5" bestFit="1" customWidth="1"/>
  </cols>
  <sheetData>
    <row r="1" spans="1:38" ht="27.7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</row>
    <row r="2" spans="1:38" ht="29.2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ht="48" customHeight="1" thickBot="1">
      <c r="A3" s="6"/>
      <c r="B3" s="7"/>
      <c r="C3" s="11" t="s">
        <v>8</v>
      </c>
      <c r="D3" s="11"/>
      <c r="E3" s="11"/>
      <c r="F3" s="11"/>
      <c r="G3" s="11"/>
      <c r="H3" s="11"/>
      <c r="I3" s="6"/>
      <c r="J3" s="6"/>
      <c r="K3" s="6"/>
      <c r="L3" s="6"/>
      <c r="M3" s="6"/>
      <c r="N3" s="6"/>
      <c r="O3" s="6"/>
      <c r="P3" s="6">
        <f>MATCH(mes, Planilha3!B4:B15, 0)</f>
        <v>1</v>
      </c>
      <c r="Q3" s="14">
        <f>DATE(ano,P3,1)</f>
        <v>45292</v>
      </c>
      <c r="R3" s="14">
        <f>EOMONTH(Q3,0)</f>
        <v>45322</v>
      </c>
      <c r="S3" s="6" t="str">
        <f>LEFT(C3, SEARCH(" ", C3) - 1)</f>
        <v>JANEIRO</v>
      </c>
      <c r="T3" s="6">
        <f>VALUE(RIGHT(C3,4))</f>
        <v>2024</v>
      </c>
      <c r="U3" s="6"/>
      <c r="V3" s="6"/>
      <c r="W3" s="6"/>
    </row>
    <row r="4" spans="1:38" ht="15.6" thickTop="1" thickBot="1">
      <c r="A4" s="6"/>
      <c r="B4" s="3">
        <v>1</v>
      </c>
      <c r="C4" s="8"/>
      <c r="D4" s="4">
        <v>2</v>
      </c>
      <c r="E4" s="8"/>
      <c r="F4" s="4">
        <v>3</v>
      </c>
      <c r="G4" s="8"/>
      <c r="H4" s="4">
        <v>4</v>
      </c>
      <c r="I4" s="8"/>
      <c r="J4" s="4">
        <v>5</v>
      </c>
      <c r="K4" s="8"/>
      <c r="L4" s="4">
        <v>6</v>
      </c>
      <c r="M4" s="8"/>
      <c r="N4" s="4">
        <v>7</v>
      </c>
      <c r="O4" s="6"/>
      <c r="P4" s="6"/>
      <c r="Q4" s="6"/>
      <c r="R4" s="6"/>
      <c r="S4" s="6"/>
      <c r="T4" s="6"/>
      <c r="U4" s="6"/>
      <c r="V4" s="6"/>
      <c r="W4" s="6"/>
      <c r="X4" s="6"/>
    </row>
    <row r="5" spans="1:38" ht="24" thickTop="1">
      <c r="A5" s="6"/>
      <c r="B5" s="20" t="str">
        <f>IF(WEEKDAY(Q3)=B4,Q3,
        IF(WEEKDAY(Q3)&lt;B4,#REF!+1,""))</f>
        <v/>
      </c>
      <c r="C5" s="6"/>
      <c r="D5" s="20">
        <f>IF(WEEKDAY(Q3)=D4,Q3,
        IF(WEEKDAY(Q3)&lt;D4,B5+1,""))</f>
        <v>45292</v>
      </c>
      <c r="E5" s="6"/>
      <c r="F5" s="20">
        <f>IF(WEEKDAY(Q3)=F4,Q3,
        IF(WEEKDAY(Q3)&lt;F4,D5+1,""))</f>
        <v>45293</v>
      </c>
      <c r="G5" s="6"/>
      <c r="H5" s="20">
        <f>IF(WEEKDAY(Q3)=H4,Q3,
        IF(WEEKDAY(Q3)&lt;H4,F5+1,""))</f>
        <v>45294</v>
      </c>
      <c r="I5" s="6"/>
      <c r="J5" s="20">
        <f>IF(WEEKDAY(Q3)=J4,Q3,
        IF(WEEKDAY(Q3)&lt;J4,H5+1,""))</f>
        <v>45295</v>
      </c>
      <c r="K5" s="6"/>
      <c r="L5" s="20">
        <f>IF(WEEKDAY(Q3)=L4,Q3,
        IF(WEEKDAY(Q3)&lt;L4,J5+1,""))</f>
        <v>45296</v>
      </c>
      <c r="M5" s="6"/>
      <c r="N5" s="5">
        <f>IF(WEEKDAY(Q3)=N4,Q3,
        IF(WEEKDAY(Q3)&lt;N4,L5+1,""))</f>
        <v>45297</v>
      </c>
      <c r="O5" s="6"/>
      <c r="P5" s="6"/>
      <c r="Q5" s="6"/>
      <c r="R5" s="6"/>
      <c r="S5" s="6"/>
      <c r="T5" s="6"/>
      <c r="U5" s="6"/>
      <c r="V5" s="6"/>
      <c r="W5" s="6"/>
      <c r="X5" s="6"/>
    </row>
    <row r="6" spans="1:38" ht="14.4" customHeight="1">
      <c r="A6" s="6"/>
      <c r="B6" s="19" t="str">
        <f>IFERROR(INDEX(tbl_Eventos[DESCRIÇÃO], MATCH(B5, tbl_Eventos[DATA], 0)), "")</f>
        <v/>
      </c>
      <c r="C6" s="6"/>
      <c r="D6" s="19" t="str">
        <f>IFERROR(INDEX(tbl_Eventos[DESCRIÇÃO], MATCH(D5, tbl_Eventos[DATA], 0)), "")</f>
        <v>Visita a Usina Santo Agostinho</v>
      </c>
      <c r="E6" s="6"/>
      <c r="F6" s="19" t="str">
        <f>IFERROR(INDEX(tbl_Eventos[DESCRIÇÃO], MATCH(F5, tbl_Eventos[DATA], 0)), "")</f>
        <v>Visita Usina C</v>
      </c>
      <c r="G6" s="6"/>
      <c r="H6" s="19" t="str">
        <f>IFERROR(INDEX(tbl_Eventos[DESCRIÇÃO], MATCH(H5, tbl_Eventos[DATA], 0)), "")</f>
        <v/>
      </c>
      <c r="I6" s="6"/>
      <c r="J6" s="19" t="str">
        <f>IFERROR(INDEX(tbl_Eventos[DESCRIÇÃO], MATCH(J5, tbl_Eventos[DATA], 0)), "")</f>
        <v/>
      </c>
      <c r="K6" s="6"/>
      <c r="L6" s="19" t="str">
        <f>IFERROR(INDEX(tbl_Eventos[DESCRIÇÃO], MATCH(L5, tbl_Eventos[DATA], 0)), "")</f>
        <v>Visita Usina D</v>
      </c>
      <c r="M6" s="6"/>
      <c r="N6" s="18" t="str">
        <f>IFERROR(INDEX(tbl_Eventos[DESCRIÇÃO], MATCH(N5, tbl_Eventos[DATA], 0)), "")</f>
        <v/>
      </c>
      <c r="O6" s="6"/>
      <c r="P6" s="6"/>
      <c r="Q6" s="6"/>
      <c r="R6" s="6"/>
      <c r="S6" s="6"/>
      <c r="T6" s="6"/>
      <c r="U6" s="6"/>
      <c r="V6" s="6"/>
      <c r="W6" s="6"/>
      <c r="X6" s="6"/>
    </row>
    <row r="7" spans="1:38">
      <c r="A7" s="6"/>
      <c r="B7" s="19"/>
      <c r="C7" s="6"/>
      <c r="D7" s="19"/>
      <c r="E7" s="6"/>
      <c r="F7" s="19"/>
      <c r="G7" s="6"/>
      <c r="H7" s="19"/>
      <c r="I7" s="6"/>
      <c r="J7" s="19"/>
      <c r="K7" s="6"/>
      <c r="L7" s="19"/>
      <c r="M7" s="6"/>
      <c r="N7" s="18"/>
      <c r="O7" s="6"/>
      <c r="P7" s="6"/>
      <c r="Q7" s="6"/>
      <c r="R7" s="6"/>
      <c r="S7" s="6"/>
      <c r="T7" s="6"/>
      <c r="U7" s="6"/>
      <c r="V7" s="6"/>
      <c r="W7" s="6"/>
      <c r="X7" s="6"/>
    </row>
    <row r="8" spans="1:38">
      <c r="A8" s="6"/>
      <c r="B8" s="21" t="str">
        <f>IFERROR(IF(COUNTIF(tbl_Eventos[DATA], B5) &gt; 0, "+" &amp; COUNTIF(tbl_Eventos[DATA], B5) - 1 &amp; " visita(s)", ""), "")</f>
        <v/>
      </c>
      <c r="C8" s="9"/>
      <c r="D8" s="21" t="str">
        <f>IFERROR(IF(COUNTIF(tbl_Eventos[DATA], D5) &gt; 0, "+" &amp; COUNTIF(tbl_Eventos[DATA], D5) - 1 &amp; " visita(s)", ""), "")</f>
        <v>+2 visita(s)</v>
      </c>
      <c r="E8" s="9"/>
      <c r="F8" s="21" t="str">
        <f>IFERROR(IF(COUNTIF(tbl_Eventos[DATA], F5) &gt; 0, "+" &amp; COUNTIF(tbl_Eventos[DATA], F5) - 1 &amp; " visita(s)", ""), "")</f>
        <v>+0 visita(s)</v>
      </c>
      <c r="G8" s="9"/>
      <c r="H8" s="21" t="str">
        <f>IFERROR(IF(COUNTIF(tbl_Eventos[DATA], H5) &gt; 0, "+" &amp; COUNTIF(tbl_Eventos[DATA], H5) - 1 &amp; " visita(s)", ""), "")</f>
        <v/>
      </c>
      <c r="I8" s="9"/>
      <c r="J8" s="21" t="str">
        <f>IFERROR(IF(COUNTIF(tbl_Eventos[DATA], J5) &gt; 0, "+" &amp; COUNTIF(tbl_Eventos[DATA], J5) - 1 &amp; " visita(s)", ""), "")</f>
        <v/>
      </c>
      <c r="K8" s="9"/>
      <c r="L8" s="21" t="str">
        <f>IFERROR(IF(COUNTIF(tbl_Eventos[DATA], L5) &gt; 0, "+" &amp; COUNTIF(tbl_Eventos[DATA], L5) - 1 &amp; " visita(s)", ""), "")</f>
        <v>+0 visita(s)</v>
      </c>
      <c r="M8" s="9"/>
      <c r="N8" s="22" t="str">
        <f>IFERROR(IF(COUNTIF(tbl_Eventos[DATA], N5) &gt; 0, "+" &amp; COUNTIF(tbl_Eventos[DATA], N5) - 1 &amp; " visita(s)", ""), "")</f>
        <v/>
      </c>
      <c r="O8" s="6"/>
      <c r="P8" s="6"/>
      <c r="Q8" s="6"/>
      <c r="R8" s="6"/>
      <c r="S8" s="6"/>
      <c r="T8" s="6"/>
      <c r="U8" s="6"/>
      <c r="V8" s="6"/>
      <c r="W8" s="6"/>
      <c r="X8" s="6"/>
    </row>
    <row r="9" spans="1:38" ht="7.5" customHeight="1">
      <c r="A9" s="6"/>
      <c r="C9" s="6"/>
      <c r="E9" s="6"/>
      <c r="G9" s="6"/>
      <c r="I9" s="6"/>
      <c r="K9" s="6"/>
      <c r="M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1:38" ht="23.4">
      <c r="A10" s="6"/>
      <c r="B10" s="5">
        <f>IF(N5&lt;&gt;"",
        IF(N5+1&lt;=R3,N5+1,""),"")</f>
        <v>45298</v>
      </c>
      <c r="C10" s="6"/>
      <c r="D10" s="5">
        <f>IF(B10&lt;&gt;"",
        IF(B10+1&lt;=R3,B10+1,""),"")</f>
        <v>45299</v>
      </c>
      <c r="E10" s="6"/>
      <c r="F10" s="5">
        <f>IF(D10&lt;&gt;"",
        IF(D10+1&lt;=R3,D10+1,""),"")</f>
        <v>45300</v>
      </c>
      <c r="G10" s="6"/>
      <c r="H10" s="5">
        <f>IF(F10&lt;&gt;"",
        IF(F10+1&lt;=R3,F10+1,""),"")</f>
        <v>45301</v>
      </c>
      <c r="I10" s="6"/>
      <c r="J10" s="5">
        <f>IF(H10&lt;&gt;"",
        IF(H10+1&lt;=R3,H10+1,""),"")</f>
        <v>45302</v>
      </c>
      <c r="K10" s="6"/>
      <c r="L10" s="5">
        <f>IF(J10&lt;&gt;"",
        IF(J10+1&lt;=R3,J10+1,""),"")</f>
        <v>45303</v>
      </c>
      <c r="M10" s="6"/>
      <c r="N10" s="5">
        <f>IF(L10&lt;&gt;"",
        IF(L10+1&lt;=R3,L10+1,""),"")</f>
        <v>45304</v>
      </c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1:38">
      <c r="A11" s="6"/>
      <c r="B11" s="19" t="str">
        <f>IFERROR(INDEX(tbl_Eventos[DESCRIÇÃO], MATCH(B10, tbl_Eventos[DATA], 0)), "")</f>
        <v/>
      </c>
      <c r="C11" s="6"/>
      <c r="D11" s="18" t="str">
        <f>IFERROR(INDEX(tbl_Eventos[DESCRIÇÃO], MATCH(D10, tbl_Eventos[DATA], 0)), "")</f>
        <v/>
      </c>
      <c r="E11" s="6"/>
      <c r="F11" s="18" t="str">
        <f>IFERROR(INDEX(tbl_Eventos[DESCRIÇÃO], MATCH(F10, tbl_Eventos[DATA], 0)), "")</f>
        <v/>
      </c>
      <c r="G11" s="6"/>
      <c r="H11" s="18" t="str">
        <f>IFERROR(INDEX(tbl_Eventos[DESCRIÇÃO], MATCH(H10, tbl_Eventos[DATA], 0)), "")</f>
        <v/>
      </c>
      <c r="I11" s="6"/>
      <c r="J11" s="18" t="str">
        <f>IFERROR(INDEX(tbl_Eventos[DESCRIÇÃO], MATCH(J10, tbl_Eventos[DATA], 0)), "")</f>
        <v/>
      </c>
      <c r="K11" s="6"/>
      <c r="L11" s="18" t="str">
        <f>IFERROR(INDEX(tbl_Eventos[DESCRIÇÃO], MATCH(L10, tbl_Eventos[DATA], 0)), "")</f>
        <v/>
      </c>
      <c r="M11" s="6"/>
      <c r="N11" s="18" t="str">
        <f>IFERROR(INDEX(tbl_Eventos[DESCRIÇÃO], MATCH(N10, tbl_Eventos[DATA], 0)), "")</f>
        <v/>
      </c>
      <c r="O11" s="6"/>
      <c r="P11" s="6"/>
      <c r="Q11" s="6"/>
      <c r="R11" s="6"/>
      <c r="S11" s="6"/>
      <c r="T11" s="6"/>
      <c r="U11" s="6"/>
      <c r="V11" s="6"/>
      <c r="W11" s="6"/>
      <c r="X11" s="6"/>
    </row>
    <row r="12" spans="1:38">
      <c r="A12" s="6"/>
      <c r="B12" s="19"/>
      <c r="C12" s="6"/>
      <c r="D12" s="18"/>
      <c r="E12" s="6"/>
      <c r="F12" s="18"/>
      <c r="G12" s="6"/>
      <c r="H12" s="18"/>
      <c r="I12" s="6"/>
      <c r="J12" s="18"/>
      <c r="K12" s="6"/>
      <c r="L12" s="18"/>
      <c r="M12" s="6"/>
      <c r="N12" s="18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1:38">
      <c r="A13" s="6"/>
      <c r="B13" s="22" t="str">
        <f>IFERROR(IF(COUNTIF(tbl_Eventos[DATA], B10) &gt; 0, "+" &amp; COUNTIF(tbl_Eventos[DATA], B10) - 1 &amp; " visita(s)", ""), "")</f>
        <v/>
      </c>
      <c r="C13" s="23"/>
      <c r="D13" s="22" t="str">
        <f>IFERROR(IF(COUNTIF(tbl_Eventos[DATA], D10) &gt; 0, "+" &amp; COUNTIF(tbl_Eventos[DATA], D10) - 1 &amp; " visita(s)", ""), "")</f>
        <v/>
      </c>
      <c r="E13" s="23"/>
      <c r="F13" s="22" t="str">
        <f>IFERROR(IF(COUNTIF(tbl_Eventos[DATA], F10) &gt; 0, "+" &amp; COUNTIF(tbl_Eventos[DATA], F10) - 1 &amp; " visita(s)", ""), "")</f>
        <v/>
      </c>
      <c r="G13" s="23"/>
      <c r="H13" s="22" t="str">
        <f>IFERROR(IF(COUNTIF(tbl_Eventos[DATA], H10) &gt; 0, "+" &amp; COUNTIF(tbl_Eventos[DATA], H10) - 1 &amp; " visita(s)", ""), "")</f>
        <v/>
      </c>
      <c r="I13" s="23"/>
      <c r="J13" s="22" t="str">
        <f>IFERROR(IF(COUNTIF(tbl_Eventos[DATA], J10) &gt; 0, "+" &amp; COUNTIF(tbl_Eventos[DATA], J10) - 1 &amp; " visita(s)", ""), "")</f>
        <v/>
      </c>
      <c r="K13" s="23"/>
      <c r="L13" s="22" t="str">
        <f>IFERROR(IF(COUNTIF(tbl_Eventos[DATA], L10) &gt; 0, "+" &amp; COUNTIF(tbl_Eventos[DATA], L10) - 1 &amp; " visita(s)", ""), "")</f>
        <v/>
      </c>
      <c r="M13" s="23"/>
      <c r="N13" s="22" t="str">
        <f>IFERROR(IF(COUNTIF(tbl_Eventos[DATA], N10) &gt; 0, "+" &amp; COUNTIF(tbl_Eventos[DATA], N10) - 1 &amp; " visita(s)", ""), "")</f>
        <v/>
      </c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38" ht="6.75" customHeight="1">
      <c r="A14" s="6"/>
      <c r="C14" s="6"/>
      <c r="E14" s="6"/>
      <c r="G14" s="6"/>
      <c r="I14" s="6"/>
      <c r="K14" s="6"/>
      <c r="M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1:38" ht="23.4">
      <c r="A15" s="6"/>
      <c r="B15" s="5">
        <f>IF(N10&lt;&gt;"",
        IF(N10+1&lt;=R3,N10+1,""),"")</f>
        <v>45305</v>
      </c>
      <c r="C15" s="6"/>
      <c r="D15" s="5">
        <f>IF(B15&lt;&gt;"",
        IF(B15+1&lt;=R3,B15+1,""),"")</f>
        <v>45306</v>
      </c>
      <c r="E15" s="6"/>
      <c r="F15" s="5">
        <f>IF(D15&lt;&gt;"",
        IF(D15+1&lt;=R3,D15+1,""),"")</f>
        <v>45307</v>
      </c>
      <c r="G15" s="6"/>
      <c r="H15" s="5">
        <f>IF(F15&lt;&gt;"",
        IF(F15+1&lt;=R3,F15+1,""),"")</f>
        <v>45308</v>
      </c>
      <c r="I15" s="6"/>
      <c r="J15" s="5">
        <f>IF(H15&lt;&gt;"",
        IF(H15+1&lt;=R3,H15+1,""),"")</f>
        <v>45309</v>
      </c>
      <c r="K15" s="6"/>
      <c r="L15" s="5">
        <f>IF(J15&lt;&gt;"",
        IF(J15+1&lt;=R3,J15+1,""),"")</f>
        <v>45310</v>
      </c>
      <c r="M15" s="6"/>
      <c r="N15" s="5">
        <f>IF(L15&lt;&gt;"",
        IF(L15+1&lt;=R3,L15+1,""),"")</f>
        <v>45311</v>
      </c>
      <c r="O15" s="6"/>
      <c r="P15" s="6"/>
      <c r="Q15" s="6"/>
      <c r="R15" s="6"/>
      <c r="S15" s="6"/>
      <c r="T15" s="6"/>
      <c r="U15" s="6"/>
      <c r="V15" s="6"/>
      <c r="W15" s="6"/>
      <c r="X15" s="6"/>
    </row>
    <row r="16" spans="1:38">
      <c r="A16" s="6"/>
      <c r="B16" s="19" t="str">
        <f>IFERROR(INDEX(tbl_Eventos[DESCRIÇÃO], MATCH(B15, tbl_Eventos[DATA], 0)), "")</f>
        <v/>
      </c>
      <c r="C16" s="6"/>
      <c r="D16" s="18" t="str">
        <f>IFERROR(INDEX(tbl_Eventos[DESCRIÇÃO], MATCH(D15, tbl_Eventos[DATA], 0)), "")</f>
        <v/>
      </c>
      <c r="E16" s="6"/>
      <c r="F16" s="18" t="str">
        <f>IFERROR(INDEX(tbl_Eventos[DESCRIÇÃO], MATCH(F15, tbl_Eventos[DATA], 0)), "")</f>
        <v/>
      </c>
      <c r="G16" s="6"/>
      <c r="H16" s="18" t="str">
        <f>IFERROR(INDEX(tbl_Eventos[DESCRIÇÃO], MATCH(H15, tbl_Eventos[DATA], 0)), "")</f>
        <v/>
      </c>
      <c r="I16" s="6"/>
      <c r="J16" s="18" t="str">
        <f>IFERROR(INDEX(tbl_Eventos[DESCRIÇÃO], MATCH(J15, tbl_Eventos[DATA], 0)), "")</f>
        <v/>
      </c>
      <c r="K16" s="6"/>
      <c r="L16" s="18" t="str">
        <f>IFERROR(INDEX(tbl_Eventos[DESCRIÇÃO], MATCH(L15, tbl_Eventos[DATA], 0)), "")</f>
        <v/>
      </c>
      <c r="M16" s="6"/>
      <c r="N16" s="18" t="str">
        <f>IFERROR(INDEX(tbl_Eventos[DESCRIÇÃO], MATCH(N15, tbl_Eventos[DATA], 0)), "")</f>
        <v/>
      </c>
      <c r="O16" s="6"/>
      <c r="P16" s="6"/>
      <c r="Q16" s="6"/>
      <c r="R16" s="6"/>
      <c r="S16" s="6"/>
      <c r="T16" s="6"/>
      <c r="U16" s="6"/>
      <c r="V16" s="6"/>
      <c r="W16" s="6"/>
      <c r="X16" s="6"/>
    </row>
    <row r="17" spans="1:24">
      <c r="A17" s="6"/>
      <c r="B17" s="19"/>
      <c r="C17" s="6"/>
      <c r="D17" s="18"/>
      <c r="E17" s="6"/>
      <c r="F17" s="18"/>
      <c r="G17" s="6"/>
      <c r="H17" s="18"/>
      <c r="I17" s="6"/>
      <c r="J17" s="18"/>
      <c r="K17" s="6"/>
      <c r="L17" s="18"/>
      <c r="M17" s="6"/>
      <c r="N17" s="18"/>
      <c r="O17" s="6"/>
      <c r="P17" s="6"/>
      <c r="Q17" s="6"/>
      <c r="R17" s="6"/>
      <c r="S17" s="6"/>
      <c r="T17" s="6"/>
      <c r="U17" s="6"/>
      <c r="V17" s="6"/>
      <c r="W17" s="6"/>
      <c r="X17" s="6"/>
    </row>
    <row r="18" spans="1:24">
      <c r="A18" s="6"/>
      <c r="B18" s="22" t="str">
        <f>IFERROR(IF(COUNTIF(tbl_Eventos[DATA], B15) &gt; 0, "+" &amp; COUNTIF(tbl_Eventos[DATA], B15) - 1 &amp; " visita(s)", ""), "")</f>
        <v/>
      </c>
      <c r="C18" s="23"/>
      <c r="D18" s="22" t="str">
        <f>IFERROR(IF(COUNTIF(tbl_Eventos[DATA], D15) &gt; 0, "+" &amp; COUNTIF(tbl_Eventos[DATA], D15) - 1 &amp; " visita(s)", ""), "")</f>
        <v/>
      </c>
      <c r="E18" s="23"/>
      <c r="F18" s="22" t="str">
        <f>IFERROR(IF(COUNTIF(tbl_Eventos[DATA], F15) &gt; 0, "+" &amp; COUNTIF(tbl_Eventos[DATA], F15) - 1 &amp; " visita(s)", ""), "")</f>
        <v/>
      </c>
      <c r="G18" s="23"/>
      <c r="H18" s="22" t="str">
        <f>IFERROR(IF(COUNTIF(tbl_Eventos[DATA], H15) &gt; 0, "+" &amp; COUNTIF(tbl_Eventos[DATA], H15) - 1 &amp; " visita(s)", ""), "")</f>
        <v/>
      </c>
      <c r="I18" s="23"/>
      <c r="J18" s="22" t="str">
        <f>IFERROR(IF(COUNTIF(tbl_Eventos[DATA], J15) &gt; 0, "+" &amp; COUNTIF(tbl_Eventos[DATA], J15) - 1 &amp; " visita(s)", ""), "")</f>
        <v/>
      </c>
      <c r="K18" s="23"/>
      <c r="L18" s="22" t="str">
        <f>IFERROR(IF(COUNTIF(tbl_Eventos[DATA], L15) &gt; 0, "+" &amp; COUNTIF(tbl_Eventos[DATA], L15) - 1 &amp; " visita(s)", ""), "")</f>
        <v/>
      </c>
      <c r="M18" s="23"/>
      <c r="N18" s="22" t="str">
        <f>IFERROR(IF(COUNTIF(tbl_Eventos[DATA], N15) &gt; 0, "+" &amp; COUNTIF(tbl_Eventos[DATA], N15) - 1 &amp; " visita(s)", ""), "")</f>
        <v/>
      </c>
      <c r="O18" s="6"/>
      <c r="P18" s="6"/>
      <c r="Q18" s="6"/>
      <c r="R18" s="6"/>
      <c r="S18" s="6"/>
      <c r="T18" s="6"/>
      <c r="U18" s="6"/>
      <c r="V18" s="6"/>
      <c r="W18" s="6"/>
      <c r="X18" s="6"/>
    </row>
    <row r="19" spans="1:24" ht="6.75" customHeight="1">
      <c r="A19" s="6"/>
      <c r="C19" s="6"/>
      <c r="E19" s="6"/>
      <c r="G19" s="6"/>
      <c r="I19" s="6"/>
      <c r="K19" s="6"/>
      <c r="M19" s="6"/>
      <c r="O19" s="6"/>
      <c r="P19" s="6"/>
      <c r="Q19" s="6"/>
      <c r="R19" s="6"/>
      <c r="S19" s="6"/>
      <c r="T19" s="6"/>
      <c r="U19" s="6"/>
      <c r="V19" s="6"/>
      <c r="W19" s="6"/>
      <c r="X19" s="6"/>
    </row>
    <row r="20" spans="1:24" ht="23.4">
      <c r="A20" s="6"/>
      <c r="B20" s="5">
        <f>IF(N15&lt;&gt;"",
        IF(N15+1&lt;=R3,N15+1,""),"")</f>
        <v>45312</v>
      </c>
      <c r="C20" s="6"/>
      <c r="D20" s="5">
        <f>IF(B20&lt;&gt;"",
        IF(B20+1&lt;=R3,B20+1,""),"")</f>
        <v>45313</v>
      </c>
      <c r="E20" s="6"/>
      <c r="F20" s="5">
        <f>IF(D20&lt;&gt;"",
        IF(D20+1&lt;=R3,D20+1,""),"")</f>
        <v>45314</v>
      </c>
      <c r="G20" s="6"/>
      <c r="H20" s="5">
        <f>IF(F20&lt;&gt;"",
        IF(F20+1&lt;=R3,F20+1,""),"")</f>
        <v>45315</v>
      </c>
      <c r="I20" s="6"/>
      <c r="J20" s="5">
        <f>IF(H20&lt;&gt;"",
        IF(H20+1&lt;=R3,H20+1,""),"")</f>
        <v>45316</v>
      </c>
      <c r="K20" s="6"/>
      <c r="L20" s="5">
        <f>IF(J20&lt;&gt;"",
        IF(J20+1&lt;=R3,J20+1,""),"")</f>
        <v>45317</v>
      </c>
      <c r="M20" s="6"/>
      <c r="N20" s="5">
        <f>IF(L20&lt;&gt;"",
        IF(L20+1&lt;=R3,L20+1,""),"")</f>
        <v>45318</v>
      </c>
      <c r="O20" s="6"/>
      <c r="P20" s="6"/>
      <c r="Q20" s="6"/>
      <c r="R20" s="6"/>
      <c r="S20" s="6"/>
      <c r="T20" s="6"/>
      <c r="U20" s="6"/>
      <c r="V20" s="6"/>
      <c r="W20" s="6"/>
      <c r="X20" s="6"/>
    </row>
    <row r="21" spans="1:24">
      <c r="A21" s="6"/>
      <c r="B21" s="19" t="str">
        <f>IFERROR(INDEX(tbl_Eventos[DESCRIÇÃO], MATCH(B20, tbl_Eventos[DATA], 0)), "")</f>
        <v/>
      </c>
      <c r="C21" s="6"/>
      <c r="D21" s="18" t="str">
        <f>IFERROR(INDEX(tbl_Eventos[DESCRIÇÃO], MATCH(D20, tbl_Eventos[DATA], 0)), "")</f>
        <v/>
      </c>
      <c r="E21" s="6"/>
      <c r="F21" s="18" t="str">
        <f>IFERROR(INDEX(tbl_Eventos[DESCRIÇÃO], MATCH(F20, tbl_Eventos[DATA], 0)), "")</f>
        <v/>
      </c>
      <c r="G21" s="6"/>
      <c r="H21" s="18" t="str">
        <f>IFERROR(INDEX(tbl_Eventos[DESCRIÇÃO], MATCH(H20, tbl_Eventos[DATA], 0)), "")</f>
        <v/>
      </c>
      <c r="I21" s="6"/>
      <c r="J21" s="18" t="str">
        <f>IFERROR(INDEX(tbl_Eventos[DESCRIÇÃO], MATCH(J20, tbl_Eventos[DATA], 0)), "")</f>
        <v/>
      </c>
      <c r="K21" s="6"/>
      <c r="L21" s="18" t="str">
        <f>IFERROR(INDEX(tbl_Eventos[DESCRIÇÃO], MATCH(L20, tbl_Eventos[DATA], 0)), "")</f>
        <v/>
      </c>
      <c r="M21" s="6"/>
      <c r="N21" s="18" t="str">
        <f>IFERROR(INDEX(tbl_Eventos[DESCRIÇÃO], MATCH(N20, tbl_Eventos[DATA], 0)), "")</f>
        <v/>
      </c>
      <c r="O21" s="6"/>
      <c r="P21" s="6"/>
      <c r="Q21" s="6"/>
      <c r="R21" s="6"/>
      <c r="S21" s="6"/>
      <c r="T21" s="6"/>
      <c r="U21" s="6"/>
      <c r="V21" s="6"/>
      <c r="W21" s="6"/>
      <c r="X21" s="6"/>
    </row>
    <row r="22" spans="1:24">
      <c r="A22" s="6"/>
      <c r="B22" s="19"/>
      <c r="C22" s="6"/>
      <c r="D22" s="18"/>
      <c r="E22" s="6"/>
      <c r="F22" s="18"/>
      <c r="G22" s="6"/>
      <c r="H22" s="18"/>
      <c r="I22" s="6"/>
      <c r="J22" s="18"/>
      <c r="K22" s="6"/>
      <c r="L22" s="18"/>
      <c r="M22" s="6"/>
      <c r="N22" s="18"/>
      <c r="O22" s="6"/>
      <c r="P22" s="6"/>
      <c r="Q22" s="6"/>
      <c r="R22" s="6"/>
      <c r="S22" s="6"/>
      <c r="T22" s="6"/>
      <c r="U22" s="6"/>
      <c r="V22" s="6"/>
      <c r="W22" s="6"/>
      <c r="X22" s="6"/>
    </row>
    <row r="23" spans="1:24">
      <c r="A23" s="6"/>
      <c r="B23" s="22" t="str">
        <f>IFERROR(IF(COUNTIF(tbl_Eventos[DATA], B20) &gt; 0, "+" &amp; COUNTIF(tbl_Eventos[DATA], B20) - 1 &amp; " visita(s)", ""), "")</f>
        <v/>
      </c>
      <c r="C23" s="23"/>
      <c r="D23" s="22" t="str">
        <f>IFERROR(IF(COUNTIF(tbl_Eventos[DATA], D20) &gt; 0, "+" &amp; COUNTIF(tbl_Eventos[DATA], D20) - 1 &amp; " visita(s)", ""), "")</f>
        <v/>
      </c>
      <c r="E23" s="23"/>
      <c r="F23" s="22" t="str">
        <f>IFERROR(IF(COUNTIF(tbl_Eventos[DATA], F20) &gt; 0, "+" &amp; COUNTIF(tbl_Eventos[DATA], F20) - 1 &amp; " visita(s)", ""), "")</f>
        <v/>
      </c>
      <c r="G23" s="23"/>
      <c r="H23" s="22" t="str">
        <f>IFERROR(IF(COUNTIF(tbl_Eventos[DATA], H20) &gt; 0, "+" &amp; COUNTIF(tbl_Eventos[DATA], H20) - 1 &amp; " visita(s)", ""), "")</f>
        <v/>
      </c>
      <c r="I23" s="23"/>
      <c r="J23" s="22" t="str">
        <f>IFERROR(IF(COUNTIF(tbl_Eventos[DATA], J20) &gt; 0, "+" &amp; COUNTIF(tbl_Eventos[DATA], J20) - 1 &amp; " visita(s)", ""), "")</f>
        <v/>
      </c>
      <c r="K23" s="23"/>
      <c r="L23" s="22" t="str">
        <f>IFERROR(IF(COUNTIF(tbl_Eventos[DATA], L20) &gt; 0, "+" &amp; COUNTIF(tbl_Eventos[DATA], L20) - 1 &amp; " visita(s)", ""), "")</f>
        <v/>
      </c>
      <c r="M23" s="23"/>
      <c r="N23" s="22" t="str">
        <f>IFERROR(IF(COUNTIF(tbl_Eventos[DATA], N20) &gt; 0, "+" &amp; COUNTIF(tbl_Eventos[DATA], N20) - 1 &amp; " visita(s)", ""), "")</f>
        <v/>
      </c>
      <c r="O23" s="6"/>
      <c r="P23" s="6"/>
      <c r="Q23" s="6"/>
      <c r="R23" s="6"/>
      <c r="S23" s="6"/>
      <c r="T23" s="6"/>
      <c r="U23" s="6"/>
      <c r="V23" s="6"/>
      <c r="W23" s="6"/>
      <c r="X23" s="6"/>
    </row>
    <row r="24" spans="1:24" ht="8.25" customHeight="1">
      <c r="A24" s="6"/>
      <c r="C24" s="6"/>
      <c r="E24" s="6"/>
      <c r="G24" s="6"/>
      <c r="I24" s="6"/>
      <c r="K24" s="6"/>
      <c r="M24" s="6"/>
      <c r="O24" s="6"/>
      <c r="P24" s="6"/>
      <c r="Q24" s="6"/>
      <c r="R24" s="6"/>
      <c r="S24" s="6"/>
      <c r="T24" s="6"/>
      <c r="U24" s="6"/>
      <c r="V24" s="6"/>
      <c r="W24" s="6"/>
      <c r="X24" s="6"/>
    </row>
    <row r="25" spans="1:24" ht="23.4">
      <c r="A25" s="6"/>
      <c r="B25" s="5">
        <f>IF(N20&lt;&gt;"",
        IF(N20+1&lt;=R3,N20+1,""),"")</f>
        <v>45319</v>
      </c>
      <c r="C25" s="6"/>
      <c r="D25" s="5">
        <f>IF(B25&lt;&gt;"",
        IF(B25+1&lt;=R3,B25+1,""),"")</f>
        <v>45320</v>
      </c>
      <c r="E25" s="6"/>
      <c r="F25" s="5">
        <f>IF(D25&lt;&gt;"",
        IF(D25+1&lt;=R3,D25+1,""),"")</f>
        <v>45321</v>
      </c>
      <c r="G25" s="6"/>
      <c r="H25" s="5">
        <f>IF(F25&lt;&gt;"",
        IF(F25+1&lt;=R3,F25+1,""),"")</f>
        <v>45322</v>
      </c>
      <c r="I25" s="6"/>
      <c r="J25" s="20" t="str">
        <f>IF(H25&lt;&gt;"",
        IF(H25+1&lt;=R3,H25+1,""),"")</f>
        <v/>
      </c>
      <c r="K25" s="6"/>
      <c r="L25" s="20" t="str">
        <f>IF(J25&lt;&gt;"",
        IF(J25+1&lt;=R3,J25+1,""),"")</f>
        <v/>
      </c>
      <c r="M25" s="6"/>
      <c r="N25" s="20" t="str">
        <f>IF(L25&lt;&gt;"",
        IF(L25+1&lt;=R3,L25+1,""),"")</f>
        <v/>
      </c>
      <c r="O25" s="6"/>
      <c r="P25" s="6"/>
      <c r="Q25" s="6"/>
      <c r="R25" s="6"/>
      <c r="S25" s="6"/>
      <c r="T25" s="6"/>
      <c r="U25" s="6"/>
      <c r="V25" s="6"/>
      <c r="W25" s="6"/>
      <c r="X25" s="6"/>
    </row>
    <row r="26" spans="1:24">
      <c r="A26" s="6"/>
      <c r="B26" s="19" t="str">
        <f>IFERROR(INDEX(tbl_Eventos[DESCRIÇÃO], MATCH(B25, tbl_Eventos[DATA], 0)), "")</f>
        <v/>
      </c>
      <c r="C26" s="6"/>
      <c r="D26" s="18" t="str">
        <f>IFERROR(INDEX(tbl_Eventos[DESCRIÇÃO], MATCH(D25, tbl_Eventos[DATA], 0)), "")</f>
        <v/>
      </c>
      <c r="E26" s="6"/>
      <c r="F26" s="18" t="str">
        <f>IFERROR(INDEX(tbl_Eventos[DESCRIÇÃO], MATCH(F25, tbl_Eventos[DATA], 0)), "")</f>
        <v/>
      </c>
      <c r="G26" s="6"/>
      <c r="H26" s="18" t="str">
        <f>IFERROR(INDEX(tbl_Eventos[DESCRIÇÃO], MATCH(H25, tbl_Eventos[DATA], 0)), "")</f>
        <v/>
      </c>
      <c r="I26" s="6"/>
      <c r="J26" s="19" t="str">
        <f>IFERROR(INDEX(tbl_Eventos[DESCRIÇÃO], MATCH(J25, tbl_Eventos[DATA], 0)), "")</f>
        <v/>
      </c>
      <c r="K26" s="6"/>
      <c r="L26" s="19" t="str">
        <f>IFERROR(INDEX(tbl_Eventos[DESCRIÇÃO], MATCH(L25, tbl_Eventos[DATA], 0)), "")</f>
        <v/>
      </c>
      <c r="M26" s="6"/>
      <c r="N26" s="19" t="str">
        <f>IFERROR(INDEX(tbl_Eventos[DESCRIÇÃO], MATCH(N25, tbl_Eventos[DATA], 0)), "")</f>
        <v/>
      </c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1:24">
      <c r="A27" s="6"/>
      <c r="B27" s="19"/>
      <c r="C27" s="6"/>
      <c r="D27" s="18"/>
      <c r="E27" s="6"/>
      <c r="F27" s="18"/>
      <c r="G27" s="6"/>
      <c r="H27" s="18"/>
      <c r="I27" s="6"/>
      <c r="J27" s="19"/>
      <c r="K27" s="6"/>
      <c r="L27" s="19"/>
      <c r="M27" s="6"/>
      <c r="N27" s="19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1:24">
      <c r="A28" s="6"/>
      <c r="B28" s="22" t="str">
        <f>IFERROR(IF(COUNTIF(tbl_Eventos[DATA], B25) &gt; 0, "+" &amp; COUNTIF(tbl_Eventos[DATA], B25) - 1 &amp; " visita(s)", ""), "")</f>
        <v/>
      </c>
      <c r="C28" s="23"/>
      <c r="D28" s="22" t="str">
        <f>IFERROR(IF(COUNTIF(tbl_Eventos[DATA], D25) &gt; 0, "+" &amp; COUNTIF(tbl_Eventos[DATA], D25) - 1 &amp; " visita(s)", ""), "")</f>
        <v/>
      </c>
      <c r="E28" s="23"/>
      <c r="F28" s="22" t="str">
        <f>IFERROR(IF(COUNTIF(tbl_Eventos[DATA], F25) &gt; 0, "+" &amp; COUNTIF(tbl_Eventos[DATA], F25) - 1 &amp; " visita(s)", ""), "")</f>
        <v/>
      </c>
      <c r="G28" s="23"/>
      <c r="H28" s="22" t="str">
        <f>IFERROR(IF(COUNTIF(tbl_Eventos[DATA], H25) &gt; 0, "+" &amp; COUNTIF(tbl_Eventos[DATA], H25) - 1 &amp; " visita(s)", ""), "")</f>
        <v/>
      </c>
      <c r="I28" s="23"/>
      <c r="J28" s="21" t="str">
        <f>IFERROR(IF(COUNTIF(tbl_Eventos[DATA], J25) &gt; 0, "+" &amp; COUNTIF(tbl_Eventos[DATA], J25) - 1 &amp; " visita(s)", ""), "")</f>
        <v/>
      </c>
      <c r="K28" s="23"/>
      <c r="L28" s="21" t="str">
        <f>IFERROR(IF(COUNTIF(tbl_Eventos[DATA], L25) &gt; 0, "+" &amp; COUNTIF(tbl_Eventos[DATA], L25) - 1 &amp; " visita(s)", ""), "")</f>
        <v/>
      </c>
      <c r="M28" s="23"/>
      <c r="N28" s="21" t="str">
        <f>IFERROR(IF(COUNTIF(tbl_Eventos[DATA], N25) &gt; 0, "+" &amp; COUNTIF(tbl_Eventos[DATA], N25) - 1 &amp; " visita(s)", ""), "")</f>
        <v/>
      </c>
      <c r="O28" s="6"/>
      <c r="P28" s="6"/>
      <c r="Q28" s="6"/>
      <c r="R28" s="6"/>
      <c r="S28" s="6"/>
      <c r="T28" s="6"/>
      <c r="U28" s="6"/>
      <c r="V28" s="6"/>
      <c r="W28" s="6"/>
      <c r="X28" s="6"/>
    </row>
    <row r="29" spans="1:24" ht="6.6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4" ht="23.4">
      <c r="A30" s="6"/>
      <c r="B30" s="20" t="str">
        <f>IF(N25&lt;&gt;"",
        IF(N25+1&lt;=R3,N25+1,""),"")</f>
        <v/>
      </c>
      <c r="C30" s="6"/>
      <c r="D30" s="20" t="str">
        <f>IF(B30&lt;&gt;"",
        IF(B30+1&lt;=R3,B30+1,""),"")</f>
        <v/>
      </c>
      <c r="E30" s="6"/>
      <c r="F30" s="20" t="str">
        <f>IF(D30&lt;&gt;"",
        IF(D30+1&lt;=R3,D30+1,""),"")</f>
        <v/>
      </c>
      <c r="G30" s="6"/>
      <c r="H30" s="20" t="str">
        <f>IF(F30&lt;&gt;"",
        IF(F30+1&lt;=R3,F30+1,""),"")</f>
        <v/>
      </c>
      <c r="I30" s="6"/>
      <c r="J30" s="20" t="str">
        <f>IF(H30&lt;&gt;"",
        IF(H30+1&lt;=R3,H30+1,""),"")</f>
        <v/>
      </c>
      <c r="K30" s="6"/>
      <c r="L30" s="20" t="str">
        <f>IF(J30&lt;&gt;"",
        IF(J30+1&lt;=R3,J30+1,""),"")</f>
        <v/>
      </c>
      <c r="M30" s="6"/>
      <c r="N30" s="20" t="str">
        <f>IF(L30&lt;&gt;"",
        IF(L30+1&lt;=R3,L30+1,""),"")</f>
        <v/>
      </c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>
      <c r="A31" s="6"/>
      <c r="B31" s="19" t="str">
        <f>IFERROR(INDEX(tbl_Eventos[DESCRIÇÃO], MATCH(B30, tbl_Eventos[DATA], 0)), "")</f>
        <v/>
      </c>
      <c r="C31" s="6"/>
      <c r="D31" s="19" t="str">
        <f>IFERROR(INDEX(tbl_Eventos[DESCRIÇÃO], MATCH(D30, tbl_Eventos[DATA], 0)), "")</f>
        <v/>
      </c>
      <c r="E31" s="6"/>
      <c r="F31" s="19" t="str">
        <f>IFERROR(INDEX(tbl_Eventos[DESCRIÇÃO], MATCH(F30, tbl_Eventos[DATA], 0)), "")</f>
        <v/>
      </c>
      <c r="G31" s="6"/>
      <c r="H31" s="19" t="str">
        <f>IFERROR(INDEX(tbl_Eventos[DESCRIÇÃO], MATCH(H30, tbl_Eventos[DATA], 0)), "")</f>
        <v/>
      </c>
      <c r="I31" s="6"/>
      <c r="J31" s="19" t="str">
        <f>IFERROR(INDEX(tbl_Eventos[DESCRIÇÃO], MATCH(J30, tbl_Eventos[DATA], 0)), "")</f>
        <v/>
      </c>
      <c r="K31" s="6"/>
      <c r="L31" s="19" t="str">
        <f>IFERROR(INDEX(tbl_Eventos[DESCRIÇÃO], MATCH(L30, tbl_Eventos[DATA], 0)), "")</f>
        <v/>
      </c>
      <c r="M31" s="6"/>
      <c r="N31" s="19" t="str">
        <f>IFERROR(INDEX(tbl_Eventos[DESCRIÇÃO], MATCH(N30, tbl_Eventos[DATA], 0)), "")</f>
        <v/>
      </c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1:24">
      <c r="A32" s="6"/>
      <c r="B32" s="19"/>
      <c r="C32" s="6"/>
      <c r="D32" s="19"/>
      <c r="E32" s="6"/>
      <c r="F32" s="19"/>
      <c r="G32" s="6"/>
      <c r="H32" s="19"/>
      <c r="I32" s="6"/>
      <c r="J32" s="19"/>
      <c r="K32" s="6"/>
      <c r="L32" s="19"/>
      <c r="M32" s="6"/>
      <c r="N32" s="19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1:24">
      <c r="A33" s="6"/>
      <c r="B33" s="21" t="str">
        <f>IFERROR(IF(COUNTIF(tbl_Eventos[DATA], B30) &gt; 0, "+" &amp; COUNTIF(tbl_Eventos[DATA], B30) - 1 &amp; " visita(s)", ""), "")</f>
        <v/>
      </c>
      <c r="C33" s="23"/>
      <c r="D33" s="21" t="str">
        <f>IFERROR(IF(COUNTIF(tbl_Eventos[DATA], D30) &gt; 0, "+" &amp; COUNTIF(tbl_Eventos[DATA], D30) - 1 &amp; " visita(s)", ""), "")</f>
        <v/>
      </c>
      <c r="E33" s="23"/>
      <c r="F33" s="21" t="str">
        <f>IFERROR(IF(COUNTIF(tbl_Eventos[DATA], F30) &gt; 0, "+" &amp; COUNTIF(tbl_Eventos[DATA], F30) - 1 &amp; " visita(s)", ""), "")</f>
        <v/>
      </c>
      <c r="G33" s="23"/>
      <c r="H33" s="21" t="str">
        <f>IFERROR(IF(COUNTIF(tbl_Eventos[DATA], H30) &gt; 0, "+" &amp; COUNTIF(tbl_Eventos[DATA], H30) - 1 &amp; " visita(s)", ""), "")</f>
        <v/>
      </c>
      <c r="I33" s="23"/>
      <c r="J33" s="21" t="str">
        <f>IFERROR(IF(COUNTIF(tbl_Eventos[DATA], J30) &gt; 0, "+" &amp; COUNTIF(tbl_Eventos[DATA], J30) - 1 &amp; " visita(s)", ""), "")</f>
        <v/>
      </c>
      <c r="K33" s="23"/>
      <c r="L33" s="21" t="str">
        <f>IFERROR(IF(COUNTIF(tbl_Eventos[DATA], L30) &gt; 0, "+" &amp; COUNTIF(tbl_Eventos[DATA], L30) - 1 &amp; " visita(s)", ""), "")</f>
        <v/>
      </c>
      <c r="M33" s="23"/>
      <c r="N33" s="21" t="str">
        <f>IFERROR(IF(COUNTIF(tbl_Eventos[DATA], N30) &gt; 0, "+" &amp; COUNTIF(tbl_Eventos[DATA], N30) - 1 &amp; " visita(s)", ""), "")</f>
        <v/>
      </c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1:24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spans="1:24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spans="1:24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spans="1:2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spans="1:2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spans="1:2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spans="1:2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spans="1:2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spans="1:2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</row>
    <row r="43" spans="1:2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</row>
    <row r="44" spans="1:2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</row>
    <row r="45" spans="1:2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</row>
  </sheetData>
  <mergeCells count="43">
    <mergeCell ref="L26:L27"/>
    <mergeCell ref="N26:N27"/>
    <mergeCell ref="B31:B32"/>
    <mergeCell ref="D31:D32"/>
    <mergeCell ref="F31:F32"/>
    <mergeCell ref="H31:H32"/>
    <mergeCell ref="J31:J32"/>
    <mergeCell ref="L31:L32"/>
    <mergeCell ref="N31:N32"/>
    <mergeCell ref="B26:B27"/>
    <mergeCell ref="D26:D27"/>
    <mergeCell ref="F26:F27"/>
    <mergeCell ref="H26:H27"/>
    <mergeCell ref="J26:J27"/>
    <mergeCell ref="L16:L17"/>
    <mergeCell ref="N16:N17"/>
    <mergeCell ref="B21:B22"/>
    <mergeCell ref="D21:D22"/>
    <mergeCell ref="F21:F22"/>
    <mergeCell ref="H21:H22"/>
    <mergeCell ref="J21:J22"/>
    <mergeCell ref="L21:L22"/>
    <mergeCell ref="N21:N22"/>
    <mergeCell ref="B16:B17"/>
    <mergeCell ref="D16:D17"/>
    <mergeCell ref="F16:F17"/>
    <mergeCell ref="H16:H17"/>
    <mergeCell ref="J16:J17"/>
    <mergeCell ref="L6:L7"/>
    <mergeCell ref="N6:N7"/>
    <mergeCell ref="B6:B7"/>
    <mergeCell ref="B11:B12"/>
    <mergeCell ref="D11:D12"/>
    <mergeCell ref="F11:F12"/>
    <mergeCell ref="H11:H12"/>
    <mergeCell ref="J11:J12"/>
    <mergeCell ref="L11:L12"/>
    <mergeCell ref="N11:N12"/>
    <mergeCell ref="C3:H3"/>
    <mergeCell ref="D6:D7"/>
    <mergeCell ref="F6:F7"/>
    <mergeCell ref="H6:H7"/>
    <mergeCell ref="J6:J7"/>
  </mergeCells>
  <conditionalFormatting sqref="D10:D13">
    <cfRule type="expression" dxfId="166" priority="275">
      <formula>$D$10=””</formula>
    </cfRule>
    <cfRule type="expression" dxfId="165" priority="276">
      <formula>AND($D$10 &gt; 0, $D$11 = "", $D$13=0)</formula>
    </cfRule>
    <cfRule type="expression" dxfId="164" priority="277">
      <formula>AND($D$10 &gt; 0, $D$11 &lt;&gt; "", $D$13=0)</formula>
    </cfRule>
    <cfRule type="expression" dxfId="163" priority="641">
      <formula>AND($D$10 &gt; 0, $D$11 &lt;&gt; "", $D$13&gt;0)</formula>
    </cfRule>
  </conditionalFormatting>
  <conditionalFormatting sqref="F10 F13">
    <cfRule type="expression" dxfId="162" priority="274">
      <formula>AND($F$10 &gt; 0, $F$11 &lt;&gt; "", $F$13=0)</formula>
    </cfRule>
  </conditionalFormatting>
  <conditionalFormatting sqref="F10:F13">
    <cfRule type="expression" dxfId="161" priority="272">
      <formula>$F$10=””</formula>
    </cfRule>
    <cfRule type="expression" dxfId="160" priority="637">
      <formula>AND($F$10 &gt; 0, $F$11 = "", $F$13=0)</formula>
    </cfRule>
    <cfRule type="expression" dxfId="159" priority="638">
      <formula>AND($F$10 &gt; 0, $F$11 &lt;&gt; "", $F$13&gt;0)</formula>
    </cfRule>
  </conditionalFormatting>
  <conditionalFormatting sqref="B5:B8">
    <cfRule type="expression" dxfId="158" priority="169">
      <formula>$B$5=""</formula>
    </cfRule>
    <cfRule type="expression" dxfId="157" priority="166">
      <formula>AND($B$5 &gt; 0, $B$6 = "", $B$8=0)</formula>
    </cfRule>
    <cfRule type="expression" dxfId="156" priority="165">
      <formula>AND($B$5 &gt; 0, $B$6 &lt;&gt; "", $B$8=0)</formula>
    </cfRule>
    <cfRule type="expression" dxfId="155" priority="164">
      <formula>AND($B$5 &gt; 0, $B$6 &lt;&gt; "", $B$8&gt;0)</formula>
    </cfRule>
  </conditionalFormatting>
  <conditionalFormatting sqref="D5:D8">
    <cfRule type="expression" dxfId="154" priority="159">
      <formula>$D$5=""</formula>
    </cfRule>
    <cfRule type="expression" dxfId="153" priority="158">
      <formula>AND($D$5 &gt; 0, $D$6 = "", $D$8=0)</formula>
    </cfRule>
    <cfRule type="expression" dxfId="152" priority="157">
      <formula>AND($D$5 &gt; 0, $D$6 &lt;&gt; "", $D$8=0)</formula>
    </cfRule>
    <cfRule type="expression" dxfId="151" priority="156">
      <formula>AND($D$5 &gt; 0, $D$6 &lt;&gt; "", $D$8&gt;0)</formula>
    </cfRule>
  </conditionalFormatting>
  <conditionalFormatting sqref="F5:F8">
    <cfRule type="expression" dxfId="150" priority="152">
      <formula>AND($F$5 &gt; 0, $F$6 &lt;&gt; "", $F$8&gt;0)</formula>
    </cfRule>
    <cfRule type="expression" dxfId="149" priority="153">
      <formula>AND($F$5 &gt; 0, $F$6 &lt;&gt; "", $F$8=0)</formula>
    </cfRule>
    <cfRule type="expression" dxfId="0" priority="154">
      <formula>AND($F$5 &gt; 0, $F$6 = "", $F$8=0)</formula>
    </cfRule>
    <cfRule type="expression" dxfId="148" priority="155">
      <formula>$F$5=""</formula>
    </cfRule>
  </conditionalFormatting>
  <conditionalFormatting sqref="H5:H8">
    <cfRule type="expression" dxfId="147" priority="148">
      <formula>AND($H$5 &gt; 0, $H$6 &lt;&gt; “”)</formula>
    </cfRule>
    <cfRule type="expression" dxfId="146" priority="149">
      <formula>AND($H$5 &gt; 0, $H$6 &lt;&gt; "", $H$8=0)</formula>
    </cfRule>
    <cfRule type="expression" dxfId="145" priority="150">
      <formula>AND($H$5 &gt; 0, $H$6 = "", $H$8=0)</formula>
    </cfRule>
    <cfRule type="expression" dxfId="144" priority="151">
      <formula>$H$5=""</formula>
    </cfRule>
  </conditionalFormatting>
  <conditionalFormatting sqref="J5:J8">
    <cfRule type="expression" dxfId="143" priority="143">
      <formula>AND($J$5 &gt; 0, $J$6 &lt;&gt; “”)</formula>
    </cfRule>
    <cfRule type="expression" dxfId="142" priority="144">
      <formula>AND($J$5 &gt; 0, $J$6 &lt;&gt; "", $J$8=0)</formula>
    </cfRule>
    <cfRule type="expression" dxfId="141" priority="145">
      <formula>AND($J$5 &gt; 0, $J$6 = "", $J$8=0)</formula>
    </cfRule>
    <cfRule type="expression" dxfId="140" priority="146">
      <formula>$J$5=""</formula>
    </cfRule>
  </conditionalFormatting>
  <conditionalFormatting sqref="L5:L8">
    <cfRule type="expression" dxfId="139" priority="139">
      <formula>AND($L$5 &gt; 0, $L$6 &lt;&gt; "", $L$8&gt;0)</formula>
    </cfRule>
    <cfRule type="expression" dxfId="138" priority="140">
      <formula>AND($L$5 &gt; 0, $L$6 &lt;&gt; "", $L$8=0)</formula>
    </cfRule>
    <cfRule type="expression" dxfId="137" priority="141">
      <formula>AND($L$5 &gt; 0, $L$6 = "", $L$8=0)</formula>
    </cfRule>
    <cfRule type="expression" dxfId="136" priority="142">
      <formula>$L$5=""</formula>
    </cfRule>
  </conditionalFormatting>
  <conditionalFormatting sqref="N5:N8">
    <cfRule type="expression" dxfId="135" priority="138">
      <formula>AND($L$5 &gt; 0, $L$6 &lt;&gt; "", $L$8&gt;0)</formula>
    </cfRule>
    <cfRule type="expression" dxfId="134" priority="137">
      <formula>AND($N$5 &gt; 0, $N$6 &lt;&gt; "", $N$8=0)</formula>
    </cfRule>
    <cfRule type="expression" dxfId="133" priority="136">
      <formula>AND($N$5 &gt; 0, $N$6 &lt;&gt; "", $N$8&gt;0)</formula>
    </cfRule>
    <cfRule type="expression" dxfId="132" priority="135">
      <formula>$N$5=””</formula>
    </cfRule>
  </conditionalFormatting>
  <conditionalFormatting sqref="B10:B13">
    <cfRule type="expression" dxfId="131" priority="134">
      <formula>$B$10=””</formula>
    </cfRule>
    <cfRule type="expression" dxfId="130" priority="133">
      <formula>AND($B$10 &gt; 0, $B$11 = "", $B$13=0)</formula>
    </cfRule>
    <cfRule type="expression" dxfId="129" priority="132">
      <formula>AND($B$10 &gt; 0, $B$11 &lt;&gt; "", $B$13=0)</formula>
    </cfRule>
    <cfRule type="expression" dxfId="128" priority="131">
      <formula>AND($B$10 &gt; 0, $B$11 &lt;&gt; "", $B$13&gt;0)</formula>
    </cfRule>
  </conditionalFormatting>
  <conditionalFormatting sqref="H10:H13">
    <cfRule type="expression" dxfId="127" priority="123">
      <formula>$H$10=””</formula>
    </cfRule>
    <cfRule type="expression" dxfId="126" priority="122">
      <formula>AND($H$10 &gt; 0, $H$11 = "", $H$13=0)</formula>
    </cfRule>
    <cfRule type="expression" dxfId="125" priority="121">
      <formula>AND($H$10 &gt; 0, $H$11 &lt;&gt; "", $H$13=0)</formula>
    </cfRule>
    <cfRule type="expression" dxfId="124" priority="120">
      <formula>AND($H$10 &gt; 0, $H$11 &lt;&gt; "", $H$13&gt;0)</formula>
    </cfRule>
  </conditionalFormatting>
  <conditionalFormatting sqref="J10:J13">
    <cfRule type="expression" dxfId="123" priority="119">
      <formula>$J$10=””</formula>
    </cfRule>
    <cfRule type="expression" dxfId="122" priority="118">
      <formula>AND($J$10 &gt; 0, $J$11 = "", $J$13=0)</formula>
    </cfRule>
    <cfRule type="expression" dxfId="121" priority="117">
      <formula>AND($J$10 &gt; 0, $J$11 &lt;&gt; "", $J$13=0)</formula>
    </cfRule>
    <cfRule type="expression" dxfId="120" priority="116">
      <formula>AND($J$10 &gt; 0, $J$11 &lt;&gt; "", $J$13&gt;0)</formula>
    </cfRule>
  </conditionalFormatting>
  <conditionalFormatting sqref="N10:N13">
    <cfRule type="expression" dxfId="119" priority="115">
      <formula>$N$10=””</formula>
    </cfRule>
    <cfRule type="expression" dxfId="118" priority="114">
      <formula>AND($N$10 &gt; 0, $N$11 = "", $N$13=0)</formula>
    </cfRule>
    <cfRule type="expression" dxfId="117" priority="113">
      <formula>AND($N$10 &gt; 0, $N$11 &lt;&gt; "", $N$13=0)</formula>
    </cfRule>
    <cfRule type="expression" dxfId="116" priority="112">
      <formula>AND($N$10 &gt; 0, $N$11 &lt;&gt; "", $N$13&gt;0)</formula>
    </cfRule>
  </conditionalFormatting>
  <conditionalFormatting sqref="N15:N18">
    <cfRule type="expression" dxfId="115" priority="111">
      <formula>$N$15=””</formula>
    </cfRule>
    <cfRule type="expression" dxfId="114" priority="110">
      <formula>AND($N$15 &gt; 0, $N$16 = "", $N$18=0)</formula>
    </cfRule>
    <cfRule type="expression" dxfId="113" priority="109">
      <formula>AND($N$15 &gt; 0, $N$16 &lt;&gt; "", $N$18=0)</formula>
    </cfRule>
    <cfRule type="expression" dxfId="112" priority="108">
      <formula>AND($N$15 &gt; 0, $N$16 &lt;&gt; "", $N$18&gt;0)</formula>
    </cfRule>
  </conditionalFormatting>
  <conditionalFormatting sqref="L15:L18">
    <cfRule type="expression" dxfId="111" priority="107">
      <formula>$L$15=””</formula>
    </cfRule>
    <cfRule type="expression" dxfId="110" priority="106">
      <formula>AND($L$15 &gt; 0, $L$16 = "", $L$18=0)</formula>
    </cfRule>
    <cfRule type="expression" dxfId="109" priority="105">
      <formula>AND($L$15 &gt; 0, $L$16 &lt;&gt; "", $L$18=0)</formula>
    </cfRule>
    <cfRule type="expression" dxfId="108" priority="104">
      <formula>AND($L$15 &gt; 0, $L$16 &lt;&gt; "", $L$18&gt;0)</formula>
    </cfRule>
  </conditionalFormatting>
  <conditionalFormatting sqref="J15:J18">
    <cfRule type="expression" dxfId="107" priority="103">
      <formula>$J$15=””</formula>
    </cfRule>
    <cfRule type="expression" dxfId="106" priority="102">
      <formula>AND($J$15 &gt; 0, $J$16 = "", $J$18=0)</formula>
    </cfRule>
    <cfRule type="expression" dxfId="105" priority="101">
      <formula>AND($J$15 &gt; 0, $J$16 &lt;&gt; "", $J$18=0)</formula>
    </cfRule>
    <cfRule type="expression" dxfId="104" priority="100">
      <formula>AND($J$15 &gt; 0, $J$16 &lt;&gt; "", $J$18&gt;0)</formula>
    </cfRule>
  </conditionalFormatting>
  <conditionalFormatting sqref="H15:H18">
    <cfRule type="expression" dxfId="103" priority="99">
      <formula>$H$15=””</formula>
    </cfRule>
    <cfRule type="expression" dxfId="102" priority="98">
      <formula>AND($H$15 &gt; 0, $H$16 = "", $H$18=0)</formula>
    </cfRule>
    <cfRule type="expression" dxfId="101" priority="97">
      <formula>AND($H$15 &gt; 0, $H$16 &lt;&gt; "", $H$18=0)</formula>
    </cfRule>
    <cfRule type="expression" dxfId="100" priority="96">
      <formula>AND($H$15 &gt; 0, $H$16 &lt;&gt; "", $H$18&gt;0)</formula>
    </cfRule>
  </conditionalFormatting>
  <conditionalFormatting sqref="F15:F18">
    <cfRule type="expression" dxfId="99" priority="95">
      <formula>$F$15=””</formula>
    </cfRule>
    <cfRule type="expression" dxfId="98" priority="94">
      <formula>AND($F$15 &gt; 0, $F$16 &lt;&gt; "", $F$18=0)</formula>
    </cfRule>
    <cfRule type="expression" dxfId="97" priority="93">
      <formula>AND($F$15 &gt; 0, $F$16 &lt;&gt; "", $F$18&gt;0)</formula>
    </cfRule>
  </conditionalFormatting>
  <conditionalFormatting sqref="D15:D18">
    <cfRule type="expression" dxfId="96" priority="92">
      <formula>$D$15=””</formula>
    </cfRule>
    <cfRule type="expression" dxfId="95" priority="91">
      <formula>AND($D$15 &gt; 0, $D$16 &lt;&gt; "", $D$18=0)</formula>
    </cfRule>
    <cfRule type="expression" dxfId="94" priority="6">
      <formula>AND($D$15 &gt; 0, $D$16 = "", $D$18=0)</formula>
    </cfRule>
    <cfRule type="expression" dxfId="93" priority="5">
      <formula>AND($D$15 &gt; 0, $D$16 &lt;&gt; "", $D$18&gt;0)</formula>
    </cfRule>
  </conditionalFormatting>
  <conditionalFormatting sqref="B30:B33">
    <cfRule type="expression" dxfId="92" priority="127">
      <formula>$B$30=""</formula>
    </cfRule>
    <cfRule type="expression" dxfId="91" priority="126">
      <formula>AND($B$30 &gt; 0, $B$31 = "", $B$33=0)</formula>
    </cfRule>
    <cfRule type="expression" dxfId="90" priority="125">
      <formula>AND($B$30 &gt; 0, $B$31 &lt;&gt; "", $B$33=0)</formula>
    </cfRule>
    <cfRule type="expression" dxfId="89" priority="124">
      <formula>AND($B$30 &gt; 0, $B$31 &lt;&gt; "", $B$33&gt;0)</formula>
    </cfRule>
  </conditionalFormatting>
  <conditionalFormatting sqref="B15:B18">
    <cfRule type="expression" dxfId="88" priority="90">
      <formula>$B$15=""</formula>
    </cfRule>
    <cfRule type="expression" dxfId="87" priority="89">
      <formula>AND($B$15 &gt; 0, $B$16 = "", $B$18=0)</formula>
    </cfRule>
    <cfRule type="expression" dxfId="86" priority="88">
      <formula>AND($B$15 &gt; 0, $B$16 &lt;&gt; "", $B$18=0)</formula>
    </cfRule>
    <cfRule type="expression" dxfId="85" priority="87">
      <formula>AND($B$15 &gt; 0, $B$16 &lt;&gt; "", $B$18&gt;0)</formula>
    </cfRule>
  </conditionalFormatting>
  <conditionalFormatting sqref="B20:B23">
    <cfRule type="expression" dxfId="84" priority="86">
      <formula>$B$20=""</formula>
    </cfRule>
    <cfRule type="expression" dxfId="83" priority="85">
      <formula>AND($B$20 &gt; 0, $B$21 = "", $B$23=0)</formula>
    </cfRule>
    <cfRule type="expression" dxfId="82" priority="84">
      <formula>AND($B$20 &gt; 0, $B$21 &lt;&gt; "", $B$23=0)</formula>
    </cfRule>
    <cfRule type="expression" dxfId="81" priority="83">
      <formula>AND($B$20 &gt; 0, $B$21 &lt;&gt; "", $B$23&gt;0)</formula>
    </cfRule>
  </conditionalFormatting>
  <conditionalFormatting sqref="B25:B28">
    <cfRule type="expression" dxfId="80" priority="82">
      <formula>$B$25=""</formula>
    </cfRule>
    <cfRule type="expression" dxfId="79" priority="81">
      <formula>AND($B$25 &gt; 0, $B$26 = "", $B$28=0)</formula>
    </cfRule>
    <cfRule type="expression" dxfId="78" priority="80">
      <formula>AND($B$25 &gt; 0, $B$26 &lt;&gt; "", $B$28=0)</formula>
    </cfRule>
    <cfRule type="expression" dxfId="77" priority="79">
      <formula>AND($B$25 &gt; 0, $B$26 &lt;&gt; "", $B$28&gt;0)</formula>
    </cfRule>
  </conditionalFormatting>
  <conditionalFormatting sqref="D30:D33">
    <cfRule type="expression" dxfId="76" priority="78">
      <formula>$D$30=""</formula>
    </cfRule>
    <cfRule type="expression" dxfId="75" priority="77">
      <formula>AND($D$30 &gt; 0, $D$31 = "", $D$33=0)</formula>
    </cfRule>
    <cfRule type="expression" dxfId="74" priority="76">
      <formula>AND($D$30 &gt; 0, $D$31 &lt;&gt; "", $D$33=0)</formula>
    </cfRule>
    <cfRule type="expression" dxfId="73" priority="75">
      <formula>AND($D$30 &gt; 0, $D$31 &lt;&gt; "", $D$33&gt;0)</formula>
    </cfRule>
  </conditionalFormatting>
  <conditionalFormatting sqref="F30:F33">
    <cfRule type="expression" dxfId="72" priority="74">
      <formula>$F$30=""</formula>
    </cfRule>
    <cfRule type="expression" dxfId="71" priority="73">
      <formula>AND($F$30 &gt; 0, $F$31 = "", $F$33=0)</formula>
    </cfRule>
    <cfRule type="expression" dxfId="70" priority="72">
      <formula>AND($F$30 &gt; 0, $F$31 &lt;&gt; "", $F$33=0)</formula>
    </cfRule>
    <cfRule type="expression" dxfId="69" priority="71">
      <formula>AND($F$30 &gt; 0, $F$31 &lt;&gt; "", $F$33&gt;0)</formula>
    </cfRule>
  </conditionalFormatting>
  <conditionalFormatting sqref="H30:H33">
    <cfRule type="expression" dxfId="68" priority="70">
      <formula>$H$30=""</formula>
    </cfRule>
    <cfRule type="expression" dxfId="67" priority="69">
      <formula>AND($H$30 &gt; 0, $H$31 = "", $H$33=0)</formula>
    </cfRule>
    <cfRule type="expression" dxfId="66" priority="68">
      <formula>AND($H$30 &gt; 0, $H$31 &lt;&gt; "", $H$33=0)</formula>
    </cfRule>
    <cfRule type="expression" dxfId="65" priority="67">
      <formula>AND($H$30 &gt; 0, $H$31 &lt;&gt; "", $H$33&gt;0)</formula>
    </cfRule>
  </conditionalFormatting>
  <conditionalFormatting sqref="J30:J33">
    <cfRule type="expression" dxfId="64" priority="66">
      <formula>$J$30=""</formula>
    </cfRule>
    <cfRule type="expression" dxfId="63" priority="65">
      <formula>AND($J$30 &gt; 0, $J$31 = "", $J$33=0)</formula>
    </cfRule>
    <cfRule type="expression" dxfId="62" priority="64">
      <formula>AND($J$30 &gt; 0, $J$31 &lt;&gt; "", $J$33=0)</formula>
    </cfRule>
    <cfRule type="expression" dxfId="61" priority="63">
      <formula>AND($J$30 &gt; 0, $J$31 &lt;&gt; "", $J$33&gt;0)</formula>
    </cfRule>
  </conditionalFormatting>
  <conditionalFormatting sqref="L30:L33">
    <cfRule type="expression" dxfId="60" priority="62">
      <formula>$L$30=""</formula>
    </cfRule>
    <cfRule type="expression" dxfId="59" priority="61">
      <formula>AND($L$30 &gt; 0, $L$31 = "", $L$33=0)</formula>
    </cfRule>
    <cfRule type="expression" dxfId="58" priority="60">
      <formula>AND($L$30 &gt; 0, $L$31 &lt;&gt; "", $L$33=0)</formula>
    </cfRule>
    <cfRule type="expression" dxfId="57" priority="59">
      <formula>AND($L$30 &gt; 0, $L$31 &lt;&gt; "", $L$33&gt;0)</formula>
    </cfRule>
  </conditionalFormatting>
  <conditionalFormatting sqref="N30:N33">
    <cfRule type="expression" dxfId="56" priority="58">
      <formula>$N$30=""</formula>
    </cfRule>
    <cfRule type="expression" dxfId="55" priority="57">
      <formula>AND($N$30 &gt; 0, $N$31 = "", $N$33=0)</formula>
    </cfRule>
    <cfRule type="expression" dxfId="54" priority="56">
      <formula>AND($N$30 &gt; 0, $N$31 &lt;&gt; "", $N$33=0)</formula>
    </cfRule>
    <cfRule type="expression" dxfId="53" priority="55">
      <formula>AND($N$30 &gt; 0, $N$31 &lt;&gt; "", $N$33&gt;0)</formula>
    </cfRule>
  </conditionalFormatting>
  <conditionalFormatting sqref="N25:N28">
    <cfRule type="expression" dxfId="52" priority="54">
      <formula>$N$25=""</formula>
    </cfRule>
    <cfRule type="expression" dxfId="51" priority="53">
      <formula>AND($N$25 &gt; 0, $N$26 = "", $N$28=0)</formula>
    </cfRule>
    <cfRule type="expression" dxfId="50" priority="52">
      <formula>AND($N$25 &gt; 0, $N$26 &lt;&gt; "", $N$28=0)</formula>
    </cfRule>
    <cfRule type="expression" dxfId="49" priority="51">
      <formula>AND($N$25 &gt; 0, $N$26 &lt;&gt; "", $N$28&gt;0)</formula>
    </cfRule>
  </conditionalFormatting>
  <conditionalFormatting sqref="L25:L28">
    <cfRule type="expression" dxfId="48" priority="50">
      <formula>$L$25=""</formula>
    </cfRule>
    <cfRule type="expression" dxfId="47" priority="49">
      <formula>AND($L$25 &gt; 0, $L$26 = "", $L$28=0)</formula>
    </cfRule>
    <cfRule type="expression" dxfId="46" priority="48">
      <formula>AND($L$25 &gt; 0, $L$26 &lt;&gt; "", $L$28=0)</formula>
    </cfRule>
    <cfRule type="expression" dxfId="45" priority="47">
      <formula>AND($L$25 &gt; 0, $L$26 &lt;&gt; "", $L$28&gt;0)</formula>
    </cfRule>
  </conditionalFormatting>
  <conditionalFormatting sqref="J25:J28">
    <cfRule type="expression" dxfId="44" priority="46">
      <formula>$J$25=""</formula>
    </cfRule>
    <cfRule type="expression" dxfId="43" priority="45">
      <formula>AND($J$25 &gt; 0, $J$26 = "", $J$28=0)</formula>
    </cfRule>
    <cfRule type="expression" dxfId="42" priority="44">
      <formula>AND($J$25 &gt; 0, $J$26 &lt;&gt; "", $J$28=0)</formula>
    </cfRule>
    <cfRule type="expression" dxfId="41" priority="43">
      <formula>AND($J$25 &gt; 0, $J$26 &lt;&gt; "", $J$28&gt;0)</formula>
    </cfRule>
  </conditionalFormatting>
  <conditionalFormatting sqref="H25:H28">
    <cfRule type="expression" dxfId="40" priority="42">
      <formula>$H$25=""</formula>
    </cfRule>
    <cfRule type="expression" dxfId="39" priority="41">
      <formula>AND($H$25 &gt; 0, $H$26 = "", $H$28=0)</formula>
    </cfRule>
    <cfRule type="expression" dxfId="38" priority="40">
      <formula>AND($H$25 &gt; 0, $H$26 &lt;&gt; "", $H$28=0)</formula>
    </cfRule>
    <cfRule type="expression" dxfId="37" priority="39">
      <formula>AND($H$25 &gt; 0, $H$26 &lt;&gt; "", $H$28&gt;0)</formula>
    </cfRule>
  </conditionalFormatting>
  <conditionalFormatting sqref="F25:F28">
    <cfRule type="expression" dxfId="36" priority="38">
      <formula>$F$25=""</formula>
    </cfRule>
    <cfRule type="expression" dxfId="35" priority="37">
      <formula>AND($F$25 &gt; 0, $F$26 = "", $F$28=0)</formula>
    </cfRule>
    <cfRule type="expression" dxfId="34" priority="36">
      <formula>AND($F$25 &gt; 0, $F$26 &lt;&gt; "", $F$28=0)</formula>
    </cfRule>
    <cfRule type="expression" dxfId="33" priority="35">
      <formula>AND($F$25 &gt; 0, $F$26 &lt;&gt; "", $F$28&gt;0)</formula>
    </cfRule>
  </conditionalFormatting>
  <conditionalFormatting sqref="D25:D28">
    <cfRule type="expression" dxfId="32" priority="34">
      <formula>$D$25=""</formula>
    </cfRule>
    <cfRule type="expression" dxfId="31" priority="33">
      <formula>AND($D$25 &gt; 0, $D$26 = "", $D$28=0)</formula>
    </cfRule>
    <cfRule type="expression" dxfId="30" priority="32">
      <formula>AND($D$25 &gt; 0, $D$26 &lt;&gt; "", $D$28=0)</formula>
    </cfRule>
    <cfRule type="expression" dxfId="29" priority="31">
      <formula>AND($D$25 &gt; 0, $D$26 &lt;&gt; "", $D$28&gt;0)</formula>
    </cfRule>
  </conditionalFormatting>
  <conditionalFormatting sqref="N20:N23">
    <cfRule type="expression" dxfId="28" priority="30">
      <formula>$N$20=""</formula>
    </cfRule>
    <cfRule type="expression" dxfId="27" priority="29">
      <formula>AND($N$20 &gt; 0, $N$21 = "", $N$23=0)</formula>
    </cfRule>
    <cfRule type="expression" dxfId="26" priority="28">
      <formula>AND($N$20 &gt; 0, $N$21 &lt;&gt; "", $N$23=0)</formula>
    </cfRule>
    <cfRule type="expression" dxfId="25" priority="27">
      <formula>AND($N$20 &gt; 0, $N$21 &lt;&gt; "", $N$23&gt;0)</formula>
    </cfRule>
  </conditionalFormatting>
  <conditionalFormatting sqref="L20:L23">
    <cfRule type="expression" dxfId="24" priority="26">
      <formula>$L$20=""</formula>
    </cfRule>
    <cfRule type="expression" dxfId="23" priority="25">
      <formula>AND($L$20 &gt; 0, $L$21 = "", $L$23=0)</formula>
    </cfRule>
    <cfRule type="expression" dxfId="22" priority="24">
      <formula>AND($L$20 &gt; 0, $L$21 &lt;&gt; "", $L$23=0)</formula>
    </cfRule>
    <cfRule type="expression" dxfId="21" priority="23">
      <formula>AND($L$20 &gt; 0, $L$21 &lt;&gt; "", $L$23&gt;0)</formula>
    </cfRule>
  </conditionalFormatting>
  <conditionalFormatting sqref="J20:J23">
    <cfRule type="expression" dxfId="20" priority="22">
      <formula>$J$20=""</formula>
    </cfRule>
    <cfRule type="expression" dxfId="19" priority="21">
      <formula>AND($J$20 &gt; 0, $J$21 = "", $J$23=0)</formula>
    </cfRule>
    <cfRule type="expression" dxfId="18" priority="20">
      <formula>AND($J$20 &gt; 0, $J$21 &lt;&gt; "", $J$23=0)</formula>
    </cfRule>
    <cfRule type="expression" dxfId="17" priority="19">
      <formula>AND($J$20 &gt; 0, $J$21 &lt;&gt; "", $J$23&gt;0)</formula>
    </cfRule>
  </conditionalFormatting>
  <conditionalFormatting sqref="H20:H23">
    <cfRule type="expression" dxfId="16" priority="18">
      <formula>$H$20=""</formula>
    </cfRule>
    <cfRule type="expression" dxfId="15" priority="17">
      <formula>AND($H$20 &gt; 0, $H$21 = "", $H$23=0)</formula>
    </cfRule>
    <cfRule type="expression" dxfId="14" priority="16">
      <formula>AND($H$20 &gt; 0, $H$21 &lt;&gt; "", $H$23=0)</formula>
    </cfRule>
    <cfRule type="expression" dxfId="13" priority="15">
      <formula>AND($H$20 &gt; 0, $H$21 &lt;&gt; "", $H$23&gt;0)</formula>
    </cfRule>
  </conditionalFormatting>
  <conditionalFormatting sqref="F20:F23">
    <cfRule type="expression" dxfId="12" priority="14">
      <formula>$F$20=""</formula>
    </cfRule>
    <cfRule type="expression" dxfId="11" priority="13">
      <formula>AND($F$20 &gt; 0, $F$21 = "", $F$23=0)</formula>
    </cfRule>
    <cfRule type="expression" dxfId="10" priority="12">
      <formula>AND($F$20 &gt; 0, $F$21 &lt;&gt; "", $F$23=0)</formula>
    </cfRule>
    <cfRule type="expression" dxfId="9" priority="11">
      <formula>AND($F$20 &gt; 0, $F$21 &lt;&gt; "", $F$23&gt;0)</formula>
    </cfRule>
  </conditionalFormatting>
  <conditionalFormatting sqref="D20:D23">
    <cfRule type="expression" dxfId="8" priority="10">
      <formula>$D$20=""</formula>
    </cfRule>
    <cfRule type="expression" dxfId="7" priority="9">
      <formula>AND($D$20 &gt; 0, $D$21 = "", $D$23=0)</formula>
    </cfRule>
    <cfRule type="expression" dxfId="6" priority="8">
      <formula>AND($D$20 &gt; 0, $D$21 &lt;&gt; "", $D$23=0)</formula>
    </cfRule>
    <cfRule type="expression" dxfId="5" priority="7">
      <formula>AND($D$20 &gt; 0, $D$21 &lt;&gt; "", $D$23&gt;0)</formula>
    </cfRule>
  </conditionalFormatting>
  <conditionalFormatting sqref="L10:L13">
    <cfRule type="expression" dxfId="4" priority="4">
      <formula>$L$10=""</formula>
    </cfRule>
    <cfRule type="expression" dxfId="3" priority="3">
      <formula>AND($L$10 &gt; 0, $L$11 = "", $L$13=0)</formula>
    </cfRule>
    <cfRule type="expression" dxfId="2" priority="2">
      <formula>AND($L$10 &gt; 0, $L$11 &lt;&gt; "", $L$13=0)</formula>
    </cfRule>
    <cfRule type="expression" dxfId="1" priority="1">
      <formula>AND($L$10 &gt; 0, $L$11 &lt;&gt; "", $L$13&gt;0)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94080-0520-4604-B829-546BC4C4AB18}">
  <sheetPr codeName="Planilha2"/>
  <dimension ref="B3:B15"/>
  <sheetViews>
    <sheetView workbookViewId="0">
      <selection activeCell="B4" sqref="B4:B15"/>
    </sheetView>
  </sheetViews>
  <sheetFormatPr defaultRowHeight="14.4"/>
  <cols>
    <col min="2" max="2" width="11.88671875" bestFit="1" customWidth="1"/>
  </cols>
  <sheetData>
    <row r="3" spans="2:2" ht="16.8">
      <c r="B3" s="13" t="s">
        <v>9</v>
      </c>
    </row>
    <row r="4" spans="2:2" ht="16.8">
      <c r="B4" s="12" t="s">
        <v>10</v>
      </c>
    </row>
    <row r="5" spans="2:2" ht="16.8">
      <c r="B5" s="12" t="s">
        <v>11</v>
      </c>
    </row>
    <row r="6" spans="2:2" ht="16.8">
      <c r="B6" s="12" t="s">
        <v>12</v>
      </c>
    </row>
    <row r="7" spans="2:2" ht="16.8">
      <c r="B7" s="12" t="s">
        <v>13</v>
      </c>
    </row>
    <row r="8" spans="2:2" ht="16.8">
      <c r="B8" s="12" t="s">
        <v>14</v>
      </c>
    </row>
    <row r="9" spans="2:2" ht="16.8">
      <c r="B9" s="12" t="s">
        <v>15</v>
      </c>
    </row>
    <row r="10" spans="2:2" ht="16.8">
      <c r="B10" s="12" t="s">
        <v>16</v>
      </c>
    </row>
    <row r="11" spans="2:2" ht="16.8">
      <c r="B11" s="12" t="s">
        <v>17</v>
      </c>
    </row>
    <row r="12" spans="2:2" ht="16.8">
      <c r="B12" s="12" t="s">
        <v>18</v>
      </c>
    </row>
    <row r="13" spans="2:2" ht="16.8">
      <c r="B13" s="12" t="s">
        <v>19</v>
      </c>
    </row>
    <row r="14" spans="2:2" ht="16.8">
      <c r="B14" s="12" t="s">
        <v>20</v>
      </c>
    </row>
    <row r="15" spans="2:2" ht="16.8">
      <c r="B15" s="12" t="s">
        <v>21</v>
      </c>
    </row>
  </sheetData>
  <phoneticPr fontId="6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Planilha1</vt:lpstr>
      <vt:lpstr>Planilha2</vt:lpstr>
      <vt:lpstr>Planilha3</vt:lpstr>
      <vt:lpstr>ano</vt:lpstr>
      <vt:lpstr>mes</vt:lpstr>
      <vt:lpstr>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</dc:creator>
  <cp:lastModifiedBy>Pedro Henrique</cp:lastModifiedBy>
  <dcterms:created xsi:type="dcterms:W3CDTF">2024-01-09T23:50:12Z</dcterms:created>
  <dcterms:modified xsi:type="dcterms:W3CDTF">2024-01-10T21:31:04Z</dcterms:modified>
</cp:coreProperties>
</file>